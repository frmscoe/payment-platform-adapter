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juice\OneDrive\Documents\Actio\ISO20022\"/>
    </mc:Choice>
  </mc:AlternateContent>
  <xr:revisionPtr revIDLastSave="0" documentId="8_{69EBAFDA-54E4-4B05-9AF0-627A2F9E7E1B}" xr6:coauthVersionLast="46" xr6:coauthVersionMax="46" xr10:uidLastSave="{00000000-0000-0000-0000-000000000000}"/>
  <bookViews>
    <workbookView xWindow="-120" yWindow="-120" windowWidth="29040" windowHeight="15990" tabRatio="905" activeTab="8" xr2:uid="{63366942-E173-4927-B6EB-C901656E6DE5}"/>
  </bookViews>
  <sheets>
    <sheet name="Comparison" sheetId="10" r:id="rId1"/>
    <sheet name="pain.001.001.11" sheetId="12" r:id="rId2"/>
    <sheet name="pain.001.013.09" sheetId="13" r:id="rId3"/>
    <sheet name="pacs.008.001.10" sheetId="14" r:id="rId4"/>
    <sheet name="pacs.002.001.12" sheetId="15" r:id="rId5"/>
    <sheet name="POST quotes" sheetId="1" r:id="rId6"/>
    <sheet name="PUT quotes" sheetId="2" r:id="rId7"/>
    <sheet name="POST transfers" sheetId="3" r:id="rId8"/>
    <sheet name="PUT transfers" sheetId="4" r:id="rId9"/>
    <sheet name="TransactionInitiatorType" sheetId="9" r:id="rId10"/>
    <sheet name="TransactionInitiator" sheetId="8" r:id="rId11"/>
    <sheet name="TransactionScenario" sheetId="7" r:id="rId12"/>
    <sheet name="PartyIdType" sheetId="5" r:id="rId13"/>
    <sheet name="PersonalIdentifierType" sheetId="6" r:id="rId14"/>
    <sheet name="TransferState" sheetId="11" r:id="rId15"/>
  </sheets>
  <definedNames>
    <definedName name="_xlnm._FilterDatabase" localSheetId="0" hidden="1">Comparison!$A$1:$J$84</definedName>
    <definedName name="_xlnm._FilterDatabase" localSheetId="5" hidden="1">'POST quotes'!$A$5:$K$69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5" l="1"/>
  <c r="C15" i="15"/>
  <c r="C12" i="15"/>
  <c r="C20" i="15"/>
  <c r="C19" i="15"/>
  <c r="C10" i="15"/>
  <c r="C11" i="15"/>
  <c r="C13" i="15"/>
  <c r="C14" i="15"/>
  <c r="C16" i="15"/>
  <c r="C17" i="15"/>
  <c r="C9" i="15"/>
  <c r="C8" i="15"/>
  <c r="C7" i="15"/>
  <c r="C10" i="13"/>
  <c r="C4" i="15"/>
  <c r="C6" i="15" s="1"/>
  <c r="C50" i="14"/>
  <c r="C49" i="14"/>
  <c r="C48" i="14"/>
  <c r="C46" i="14"/>
  <c r="C47" i="14"/>
  <c r="C45" i="14"/>
  <c r="C36" i="14"/>
  <c r="C35" i="14"/>
  <c r="C23" i="14"/>
  <c r="C24" i="14"/>
  <c r="C25" i="14"/>
  <c r="C26" i="14"/>
  <c r="C22" i="14"/>
  <c r="C21" i="14"/>
  <c r="C18" i="14"/>
  <c r="C15" i="14"/>
  <c r="C17" i="14"/>
  <c r="C19" i="14"/>
  <c r="C20" i="14"/>
  <c r="C16" i="14"/>
  <c r="C14" i="14"/>
  <c r="C13" i="14"/>
  <c r="C11" i="14"/>
  <c r="C10" i="14"/>
  <c r="C43" i="14"/>
  <c r="C44" i="14"/>
  <c r="C40" i="13"/>
  <c r="C37" i="12"/>
  <c r="C39" i="12"/>
  <c r="C37" i="14"/>
  <c r="C38" i="14"/>
  <c r="C39" i="14"/>
  <c r="C40" i="14"/>
  <c r="C41" i="14"/>
  <c r="C42" i="14"/>
  <c r="C34" i="14"/>
  <c r="C33" i="14"/>
  <c r="C32" i="14"/>
  <c r="C28" i="14"/>
  <c r="C29" i="14"/>
  <c r="C30" i="14"/>
  <c r="C31" i="14"/>
  <c r="C27" i="14"/>
  <c r="C6" i="14"/>
  <c r="C9" i="14"/>
  <c r="C8" i="14"/>
  <c r="C7" i="14"/>
  <c r="C50" i="13"/>
  <c r="C49" i="13"/>
  <c r="C48" i="13"/>
  <c r="C47" i="13"/>
  <c r="C46" i="13"/>
  <c r="C45" i="13"/>
  <c r="C14" i="13"/>
  <c r="C29" i="13"/>
  <c r="C28" i="13"/>
  <c r="C27" i="13"/>
  <c r="C26" i="13"/>
  <c r="C52" i="13"/>
  <c r="C51" i="13"/>
  <c r="C30" i="13"/>
  <c r="C13" i="13"/>
  <c r="C16" i="13"/>
  <c r="C49" i="12"/>
  <c r="C44" i="12"/>
  <c r="C52" i="12"/>
  <c r="C51" i="12"/>
  <c r="C43" i="12"/>
  <c r="C24" i="12"/>
  <c r="C48" i="12"/>
  <c r="C47" i="12"/>
  <c r="C50" i="12"/>
  <c r="C6" i="12"/>
  <c r="C7" i="12"/>
  <c r="C8" i="12"/>
  <c r="C9" i="12"/>
  <c r="C5" i="12"/>
  <c r="C18" i="12"/>
  <c r="C17" i="12"/>
  <c r="C16" i="12"/>
  <c r="C15" i="12"/>
  <c r="C14" i="12"/>
  <c r="C29" i="12"/>
  <c r="C28" i="12"/>
  <c r="C27" i="12"/>
  <c r="C25" i="12"/>
  <c r="C26" i="12"/>
  <c r="C46" i="12"/>
  <c r="C45" i="12"/>
  <c r="C5" i="15" l="1"/>
  <c r="C39" i="13"/>
  <c r="C36" i="13"/>
  <c r="C35" i="13"/>
  <c r="C24" i="13"/>
  <c r="C42" i="13"/>
  <c r="C41" i="13"/>
  <c r="C34" i="13"/>
  <c r="C5" i="13"/>
  <c r="C33" i="13"/>
  <c r="C7" i="13"/>
  <c r="C32" i="13"/>
  <c r="C43" i="13"/>
  <c r="C23" i="13"/>
  <c r="C38" i="13"/>
  <c r="C25" i="13"/>
  <c r="C37" i="13"/>
  <c r="C44" i="13"/>
  <c r="C15" i="13"/>
  <c r="C22" i="13"/>
  <c r="C9" i="13"/>
  <c r="C21" i="13"/>
  <c r="C8" i="13"/>
  <c r="C20" i="13"/>
  <c r="C19" i="13"/>
  <c r="C18" i="13"/>
  <c r="C17" i="13"/>
  <c r="C6" i="13"/>
  <c r="C11" i="13"/>
  <c r="C12" i="13"/>
  <c r="C31" i="12" l="1"/>
  <c r="C38" i="12"/>
  <c r="C36" i="12"/>
  <c r="C35" i="12"/>
  <c r="C34" i="12"/>
  <c r="C33" i="12"/>
  <c r="C32" i="12"/>
  <c r="C23" i="12"/>
  <c r="C22" i="12"/>
  <c r="C21" i="12"/>
  <c r="C20" i="12"/>
  <c r="C19" i="12"/>
  <c r="C13" i="12"/>
  <c r="C10" i="12"/>
</calcChain>
</file>

<file path=xl/sharedStrings.xml><?xml version="1.0" encoding="utf-8"?>
<sst xmlns="http://schemas.openxmlformats.org/spreadsheetml/2006/main" count="1644" uniqueCount="670">
  <si>
    <t>Moja</t>
  </si>
  <si>
    <t>quoteId</t>
  </si>
  <si>
    <t>transactionId</t>
  </si>
  <si>
    <t>transactionRequestId</t>
  </si>
  <si>
    <t>payee</t>
  </si>
  <si>
    <t>payer</t>
  </si>
  <si>
    <t>amountType</t>
  </si>
  <si>
    <t>fees</t>
  </si>
  <si>
    <t>transactionType</t>
  </si>
  <si>
    <t>geoCode</t>
  </si>
  <si>
    <t>note</t>
  </si>
  <si>
    <t>expiration</t>
  </si>
  <si>
    <t>extensionList</t>
  </si>
  <si>
    <t>partyIdInfo</t>
  </si>
  <si>
    <t>merchantClassificationCode</t>
  </si>
  <si>
    <t>name</t>
  </si>
  <si>
    <t>personalInfo</t>
  </si>
  <si>
    <t>partyIdType</t>
  </si>
  <si>
    <t>partyIdentifier</t>
  </si>
  <si>
    <t>partySubIdOrType</t>
  </si>
  <si>
    <t>fspId</t>
  </si>
  <si>
    <t>complexName</t>
  </si>
  <si>
    <t>dateOfBirth</t>
  </si>
  <si>
    <t>firstName</t>
  </si>
  <si>
    <t>middleName</t>
  </si>
  <si>
    <t>lastName</t>
  </si>
  <si>
    <t>amount</t>
  </si>
  <si>
    <t>Default</t>
  </si>
  <si>
    <t>SEND</t>
  </si>
  <si>
    <t>currency</t>
  </si>
  <si>
    <t>scenario</t>
  </si>
  <si>
    <t>subScenario</t>
  </si>
  <si>
    <t>initiator</t>
  </si>
  <si>
    <t>initiatorType</t>
  </si>
  <si>
    <t>refundInfo</t>
  </si>
  <si>
    <t>balanceOfPayments</t>
  </si>
  <si>
    <t>originalTransactionId</t>
  </si>
  <si>
    <t>refundReason</t>
  </si>
  <si>
    <t>TRANSFER</t>
  </si>
  <si>
    <t>PAYER</t>
  </si>
  <si>
    <t>CONSUMER</t>
  </si>
  <si>
    <t>omit</t>
  </si>
  <si>
    <t>latitude</t>
  </si>
  <si>
    <t>longitude</t>
  </si>
  <si>
    <t>MSISDN</t>
  </si>
  <si>
    <t>Comment</t>
  </si>
  <si>
    <t>We don't know this yet…</t>
  </si>
  <si>
    <t>This is the account the initiator said they wanted to pay.</t>
  </si>
  <si>
    <t>Currency is in the Ccy attribute of this item</t>
  </si>
  <si>
    <t>ISO pain.013</t>
  </si>
  <si>
    <t>Document</t>
  </si>
  <si>
    <t>Document.CdtrPmtActvtnReq</t>
  </si>
  <si>
    <t>Generate UUID</t>
  </si>
  <si>
    <t>Document.CdtrPmtActvtnReq.GrpHdr</t>
  </si>
  <si>
    <t>Document.CdtrPmtActvtnReq.GrpHdr.MsgId</t>
  </si>
  <si>
    <t>Document.CdtrPmtActvtnReq.GrpHdr.CreDtTm</t>
  </si>
  <si>
    <t>Document.CdtrPmtActvtnReq.GrpHdr.NbOfTxs</t>
  </si>
  <si>
    <t>Document.CdtrPmtActvtnReq.GrpHdr.InitgPty</t>
  </si>
  <si>
    <t>Document.CdtrPmtActvtnReq.GrpHdr.InitgPty.Id</t>
  </si>
  <si>
    <t>Document.CdtrPmtActvtnReq.GrpHdr.InitgPty.Id.AnyBIC</t>
  </si>
  <si>
    <t>Document.CdtrPmtActvtnReq.PmtInf</t>
  </si>
  <si>
    <t>Document.CdtrPmtActvtnReq.PmtInf.PmtInfId</t>
  </si>
  <si>
    <t>Quote ID from the URI</t>
  </si>
  <si>
    <t>Document.CdtrPmtActvtnReq.PmtInf.PmtMtd</t>
  </si>
  <si>
    <t>TRF</t>
  </si>
  <si>
    <t>Document.CdtrPmtActvtnReq.PmtInf.ReqdExctnDt</t>
  </si>
  <si>
    <t>Today's date as YYYY-MM-DD</t>
  </si>
  <si>
    <t>Document.CdtrPmtActvtnReq.PmtInf.SvcLvl</t>
  </si>
  <si>
    <t>Document.CdtrPmtActvtnReq.PmtInf.SvcLvl.Cd</t>
  </si>
  <si>
    <t>SDVA</t>
  </si>
  <si>
    <t>Document.CdtrPmtActvtnReq.PmtInf.Dbtr</t>
  </si>
  <si>
    <t>Document.CdtrPmtActvtnReq.PmtInf.Dbtr.CtctDtls</t>
  </si>
  <si>
    <t>Document.CdtrPmtActvtnReq.PmtInf.Dbtr.CtctDtls.MobNb</t>
  </si>
  <si>
    <t>Auto-generate NOW()</t>
  </si>
  <si>
    <t>Document.CdtrPmtActvtnReq.PmtInf.DbtrAgt</t>
  </si>
  <si>
    <t>Document.CdtrPmtActvtnReq.PmtInf.DbtrAgt.FinInstnId</t>
  </si>
  <si>
    <t>Document.CdtrPmtActvtnReq.PmtInf.DbtrAgt.FinInstnId.BICFI</t>
  </si>
  <si>
    <t>Document.CdtrPmtActvtnReq.PmtInf.ChrgBr</t>
  </si>
  <si>
    <t>DEBT</t>
  </si>
  <si>
    <t>Document.CdtrPmtActvtnReq.PmtInf.CdtTrfTxInf</t>
  </si>
  <si>
    <t>Document.CdtrPmtActvtnReq.PmtInf.CdtTrfTxInf.PmtId</t>
  </si>
  <si>
    <t>Document.CdtrPmtActvtnReq.PmtInf.CdtTrfTxInf.Amt</t>
  </si>
  <si>
    <t>transferAmount.currency</t>
  </si>
  <si>
    <t>This goes in the Ccy attribute of the element.</t>
  </si>
  <si>
    <t>transferAmount.Amount</t>
  </si>
  <si>
    <t>Document.CdtrPmtActvtnReq.PmtInf.CdtTrfTxInf.CdtrAgt</t>
  </si>
  <si>
    <t>transaction.payer.partyIdInfo.partyIdentifier</t>
  </si>
  <si>
    <t>The Transaction object is in the ILP packet in encoded form</t>
  </si>
  <si>
    <t>transaction.payer.fspId</t>
  </si>
  <si>
    <t>Document.CdtrPmtActvtnReq.PmtInf.CdtTrfTxInf.CdtrAgt.FinInstnId</t>
  </si>
  <si>
    <t>transaction.payee.fspId</t>
  </si>
  <si>
    <t>Document.CdtrPmtActvtnReq.PmtInf.CdtTrfTxInf.CdtrAgt.FinInstnId.BICFI</t>
  </si>
  <si>
    <t>Document.CdtrPmtActvtnReq.PmtInf.CdtTrfTxInf.Cdtr</t>
  </si>
  <si>
    <t>Document.CdtrPmtActvtnReq.PmtInf.CdtTrfTxInf.Cdtr.CtctDtls</t>
  </si>
  <si>
    <t>Document.CdtrPmtActvtnReq.PmtInf.CdtTrfTxInf.Cdtr.CtctDtls.MobNb</t>
  </si>
  <si>
    <t>transaction.payee.partyIdInfo.partyIdentifier</t>
  </si>
  <si>
    <t>condition</t>
  </si>
  <si>
    <t>ISO pacs.008</t>
  </si>
  <si>
    <t>transferId</t>
  </si>
  <si>
    <t>How to pick up the transaction ID</t>
  </si>
  <si>
    <t>payeeFsp</t>
  </si>
  <si>
    <t>Document.FIToFICstmrCdtTrf.CdtTrfTxInf.CdtrAgt.FinInstnId.BICFI</t>
  </si>
  <si>
    <t>payerFsp</t>
  </si>
  <si>
    <t>Document.FIToFICstmrCdtTrf.CdtTrfTxInf.DbtrAgt.FinInstnId.BICFI</t>
  </si>
  <si>
    <t>Document.FIToFICstmrCdtTrf.CdtTrfTxInf.IntrBkSttlmAmt</t>
  </si>
  <si>
    <t>ilpPacket</t>
  </si>
  <si>
    <t>Pick this up from the PUT /quotes body…</t>
  </si>
  <si>
    <t>We can construct this ourselves…</t>
  </si>
  <si>
    <t>ISO pain.002</t>
  </si>
  <si>
    <t>fulfilment</t>
  </si>
  <si>
    <t>transaction.transactionId</t>
  </si>
  <si>
    <t>pacs.008.001.09</t>
  </si>
  <si>
    <t>ACCC</t>
  </si>
  <si>
    <t>Assuming this was successful…</t>
  </si>
  <si>
    <t>Document.FIToFICstmrCdtTrf.CdtTrfTxInf.PmtId.EndToEndId</t>
  </si>
  <si>
    <t>Document.FIToFICstmrCdtTrf.CdtTrfTxInf.PmtId.InstrId</t>
  </si>
  <si>
    <t>Document.CstmrCdtTrfInitn.PmtInf.PmtInfId</t>
  </si>
  <si>
    <t>Document.CstmrCdtTrfInitn.PmtInf.CdtTrfTxInf.PmtId.EndToEndId</t>
  </si>
  <si>
    <t>Document.FIToFICstmrCdtTrf.CdtTrfTxInf.Cndtn.Condition</t>
  </si>
  <si>
    <t>Document.CdtrPmtActvtnReq.PmtInf.Cndtn.Condition</t>
  </si>
  <si>
    <t>Mapping Mojaloop's POST /quotes message onto ISO 20022 pain.001</t>
  </si>
  <si>
    <t>This mapping describes how an incoming pain.001 message (shown in column C) can be mapped onto the data elements of the Mojaloop POST /quotes message (shown in column A). Where default values are to be applied, they are shown in Column B. This mapping assumes that only phone numbers will be used as identifiers.</t>
  </si>
  <si>
    <t>Mapping Mojaloop's PUT /quotes message onto ISO 20022 pain.013</t>
  </si>
  <si>
    <t>This mapping describes how the data elements of the Mojaloop PUT /quotes message (shown in column C) can be mapped onto the data elements of an outgoing pain.013 message (shown in column A). Where default values are to be applied, they are shown in Column B. This mapping assumes that only phone numbers will be used as identifiers.</t>
  </si>
  <si>
    <t>Mapping Mojaloop's POST /transfers message onto ISO 20022 pacs.008</t>
  </si>
  <si>
    <t>This mapping describes how an incoming pacs.008 message (shown in column C) can be mapped onto the data elements of the Mojaloop POST /transfers message (shown in column A). Where default values are to be applied, they are shown in Column B. This mapping assumes that only phone numbers will be used as identifiers.</t>
  </si>
  <si>
    <t>Document.CdtrPmtActvtnReq.PmtInf.CdtTrfTxInf.Cdtr.CtctDtls.Nm</t>
  </si>
  <si>
    <t>transaction.payee.name</t>
  </si>
  <si>
    <t>Mapping Mojaloop's PUT /transfers message onto ISO 20022 pacs.002</t>
  </si>
  <si>
    <t>This mapping describes how the data elements of the Mojaloop PUT /transfer message (shown in column C) can be mapped onto the data elements of an outgoing pacs.002 message (shown in column A). Where default values are to be applied, they are shown in Column B. This mapping assumes that only phone numbers will be used as identifiers.</t>
  </si>
  <si>
    <t>Don't need to worry about this</t>
  </si>
  <si>
    <t>This kind of assumes we're using BICs to identify participants - need to check this with RSwitch</t>
  </si>
  <si>
    <t>Document.FIToFIPmtStsRpt.OrgnlGrpInfAndSts.OrgnlMsgId</t>
  </si>
  <si>
    <t>Document.FIToFIPmtStsRpt.OrgnlGrpInfAndSts.OrgnlMsgNmId</t>
  </si>
  <si>
    <t>Document.FIToFIPmtStsRpt.OrgnlGrpInfAndSts.GrpSts</t>
  </si>
  <si>
    <t>Document.FIToFIPmtStsRpt</t>
  </si>
  <si>
    <t>Document.FIToFIPmtStsRpt.GrpHdr</t>
  </si>
  <si>
    <t>Document.FIToFIPmtStsRpt.GrpHdr.MsgId</t>
  </si>
  <si>
    <t>Document.FIToFIPmtStsRpt.GrpHdr.CreDtTm</t>
  </si>
  <si>
    <t>Document.FIToFIPmtStsRpt.GrpHdr.IlpData</t>
  </si>
  <si>
    <t>Document.FIToFIPmtStsRpt.GrpHdr.IlpData.Fulfilment</t>
  </si>
  <si>
    <t>Document.FIToFIPmtStsRpt.GrpHdr.DbtrAgent</t>
  </si>
  <si>
    <t>Document.FIToFIPmtStsRpt.GrpHdr.DbtrAgt</t>
  </si>
  <si>
    <t>Document.FIToFIPmtStsRpt.GrpHdr.DbtrAgt.FininstnId</t>
  </si>
  <si>
    <t>Document.FIToFIPmtStsRpt.GrpHdr.DbtrAgt.FininstnId.BICFI</t>
  </si>
  <si>
    <t>Document.FIToFIPmtStsRpt.GrpHdr.CdtrAgt</t>
  </si>
  <si>
    <t>Document.FIToFIPmtStsRpt.GrpHdr.CdtrAgt.FininstnId</t>
  </si>
  <si>
    <t>Document.FIToFIPmtStsRpt.GrpHdr.CdtrAgt.FininstnId.BICFI</t>
  </si>
  <si>
    <t>Document.FIToFIPmtStsRpt.OrgnlGrpInfAndSts</t>
  </si>
  <si>
    <t>BusinessComponent</t>
  </si>
  <si>
    <t>Description</t>
  </si>
  <si>
    <t>Information about the Payee in the proposed financial transaction.</t>
  </si>
  <si>
    <t>Information about the Payer in the proposed financial transaction.</t>
  </si>
  <si>
    <t>Field/Collection</t>
  </si>
  <si>
    <t>Field</t>
  </si>
  <si>
    <t>Collection</t>
  </si>
  <si>
    <t>Party Id type, id, sub ID or type, and FSP Id.</t>
  </si>
  <si>
    <t>The type of the identifier.</t>
  </si>
  <si>
    <t>An identifier for the Party.</t>
  </si>
  <si>
    <t>A sub-identifier or sub-type for the Party.</t>
  </si>
  <si>
    <t>The FSP identifier.</t>
  </si>
  <si>
    <t>A limited set of pre-defined numbers. This list would be a limited set of numbers identifying a set of popular merchant types like School Fees, Pubs and Restaurants, Groceries, and so on.</t>
  </si>
  <si>
    <t>Used when an MSISDN (Mobile Station International Subscriber Directory Number, that is, the phone number) is used as reference to a participant. The MSISDN identifier should be in international format according to the ITU-T E.164 standard. Optionally, the MSISDN may be prefixed by a single plus sign, indicating the international prefix.</t>
  </si>
  <si>
    <t>EMAIL</t>
  </si>
  <si>
    <t>Used when an email should be used as reference to a participant. The format of the email should be according to the informational RFC 3696.</t>
  </si>
  <si>
    <t>PERSONAL_ID</t>
  </si>
  <si>
    <t>Used when some kind of personal identifier should be used as reference to a participant. Examples of personal identification can be passport number, birth certificate number, national registration number or similar. The identifier number shall be added in the PartyIdentifier element. The personal identifier type shall be added in the PartySubIdOrType element.</t>
  </si>
  <si>
    <t>BUSINESS</t>
  </si>
  <si>
    <t>Used when a specific Business (for example, an Organization or a Company) should be used as reference to a participant. The Business identifier can be in any format. To make a transaction connected to a specific username or bill number in a Business, the PartySubIdOrType element should be used.</t>
  </si>
  <si>
    <t>DEVICE</t>
  </si>
  <si>
    <t>Used when a specific Device (for example, a POS or ATM) ID connected to a specific Business or Organization should be used as reference to a Party. To use a specific device under a specific Business or Organization, the PartySubIdOrType element should be used.</t>
  </si>
  <si>
    <t>ACCOUNT_ID</t>
  </si>
  <si>
    <t>Used when a bank account number or FSP account ID should be used as reference to a participant. The ACCOUNT_ID identifier can be in any format, as formats can greatly differ depending on country and FSP.</t>
  </si>
  <si>
    <t>IBAN</t>
  </si>
  <si>
    <t>Used when a bank account number or FSP account ID should be used as reference to a participant. The IBAN identifier can consist of up to 34 alphanumeric characters and should be entered without any whitespace.</t>
  </si>
  <si>
    <t>ALIAS</t>
  </si>
  <si>
    <r>
      <t>Used when an alias should be used as reference to a participant. The alias should be created in the FSP as an alternative reference to an account owner. Another example of an alias can be username in the FSP system. The </t>
    </r>
    <r>
      <rPr>
        <i/>
        <sz val="12"/>
        <color rgb="FF333333"/>
        <rFont val="Arial"/>
        <family val="2"/>
      </rPr>
      <t>ALIAS</t>
    </r>
    <r>
      <rPr>
        <sz val="12"/>
        <color rgb="FF333333"/>
        <rFont val="Arial"/>
        <family val="2"/>
      </rPr>
      <t> identifier can be in any format. It is also possible to use the PartySubIdOrType element for identifying an account under an Alias defined by the PartyIdentifier.</t>
    </r>
  </si>
  <si>
    <t>PASSPORT</t>
  </si>
  <si>
    <t>Used when a passport number should be used as reference to a Party</t>
  </si>
  <si>
    <t>NATIONAL_REGISTRATION</t>
  </si>
  <si>
    <t>Used when a national registration number should be used as reference to a Party</t>
  </si>
  <si>
    <t>DRIVING_LICENSE</t>
  </si>
  <si>
    <t>Used when a driving license should be used as reference to a Party</t>
  </si>
  <si>
    <t>ALIEN_REGISTRATION</t>
  </si>
  <si>
    <t>Used when an alien registration number should be used as reference to a Party</t>
  </si>
  <si>
    <t>NATIONAL_ID_CARD</t>
  </si>
  <si>
    <t>Used when a national ID card number should be used as reference to a Party</t>
  </si>
  <si>
    <t>EMPLOYER_ID</t>
  </si>
  <si>
    <t>Used when a tax identification number should be used as reference to a Party</t>
  </si>
  <si>
    <t>TAXI_ID_NUMBER</t>
  </si>
  <si>
    <t>Used when a tax identification number should be used as reference to a Party.</t>
  </si>
  <si>
    <t>SENIOR_CITIZENS_CARD</t>
  </si>
  <si>
    <t>Used when a senior citizens card number should be used as reference to a Party</t>
  </si>
  <si>
    <t>MARRIAGE_CERTIFICATE</t>
  </si>
  <si>
    <t>Used when a marriage certificate number should be used as reference to a Party</t>
  </si>
  <si>
    <t>HEALTH_CARD</t>
  </si>
  <si>
    <t>Used when a health card number should be used as reference to a Party</t>
  </si>
  <si>
    <t>VOTERS_ID</t>
  </si>
  <si>
    <t>Used when a voters identification number should be used as reference to a Party</t>
  </si>
  <si>
    <t>UNITED_NATIONS</t>
  </si>
  <si>
    <t>Used when an UN (United Nations) number should be used as reference to a Party</t>
  </si>
  <si>
    <t>OTHER_ID</t>
  </si>
  <si>
    <t>Used when any other type of identification type number should be used as reference to a Party</t>
  </si>
  <si>
    <t>The name of the party, could be a real name or a nick name.</t>
  </si>
  <si>
    <t>Personal information used to verify identity of Party such as first, middle, last name and date of birth.</t>
  </si>
  <si>
    <t>First, middle and last name.</t>
  </si>
  <si>
    <t>First name</t>
  </si>
  <si>
    <t>Middle name</t>
  </si>
  <si>
    <t>Last name</t>
  </si>
  <si>
    <t>Date of birth</t>
  </si>
  <si>
    <t>This element contains the amount type. Allowed values are: SEND (The amount the Payer would like to send, that is, the amount that should be withdrawn from the Payer account including any fees.) or RECEIVE	(The amount the Payer would like the Payee to receive, that is, the amount that should be sent to the receiver exclusive fees.)</t>
  </si>
  <si>
    <t>Depending on amountType:
If SEND: The amount the Payer would like to send, that is, the amount that should be withdrawn from the Payer account including any fees. The amount is updated by each participating entity in the transaction.
If RECEIVE: The amount the Payee should receive, that is, the amount that should be sent to the receiver exclusive any fees. The amount is not updated by any of the participating entities.</t>
  </si>
  <si>
    <t>The fees in the transaction.</t>
  </si>
  <si>
    <t>The currency of the fees amount.</t>
  </si>
  <si>
    <t>The value of the amount of money.</t>
  </si>
  <si>
    <t>The currency of the amount.</t>
  </si>
  <si>
    <t>The value of the fees amount</t>
  </si>
  <si>
    <t>The type of transaction that the quote is requested for.</t>
  </si>
  <si>
    <t>Possible sub-scenario, defined locally within the scheme.</t>
  </si>
  <si>
    <t>Who is initiating the transaction: payer or payee</t>
  </si>
  <si>
    <t>Extra information specific to a refund scenario. Should only be populated if scenario is REFUND.</t>
  </si>
  <si>
    <t>Balance of Payments code.</t>
  </si>
  <si>
    <t>DEPOSIT</t>
  </si>
  <si>
    <t>Used for performing a Cash-In (deposit) transaction, where in the normal case electronic funds are transferred from a Business account to a Consumer account, and physical cash is given from the Consumer to the Business User.</t>
  </si>
  <si>
    <t>WITHDRAWAL</t>
  </si>
  <si>
    <t>Used for performing a Cash-Out (withdrawal) transaction, where in the normal case electronic funds are transferred from a Consumer’s account to a Business account, and physical cash is given from the Business User to the Consumer.</t>
  </si>
  <si>
    <t>Used for performing a P2P (Peer to Peer, or Consumer to Consumer) transaction.</t>
  </si>
  <si>
    <t>PAYMENT</t>
  </si>
  <si>
    <t>Typically used for performing a transaction from a Consumer to a Merchant/Organization, but could also be for a B2B (Business to Business) payment. The transaction could be online to purchase in an Internet store, in a physical store where both the Consumer and Business User are present, a bill payment, a donation, and so on.</t>
  </si>
  <si>
    <t>REFUND</t>
  </si>
  <si>
    <t>Used for performing a refund of transaction.</t>
  </si>
  <si>
    <t>The sender of funds is initiating the transaction. The account to send from is either owned by the Payer or is connected to the Payer in some way.</t>
  </si>
  <si>
    <t>PAYEE</t>
  </si>
  <si>
    <t>The recipient of the funds is also initiating the transaction by sending a transaction request. The Payer must approve the transaction, either automatically by a pre-generated OTP, pre-approval of the Payee, or by manually approving in his or her own Device.</t>
  </si>
  <si>
    <t>Consumer is the initiator of the transaction.</t>
  </si>
  <si>
    <t>AGENT</t>
  </si>
  <si>
    <t>Agent is the initiator of the transaction.</t>
  </si>
  <si>
    <t>Business is the initiator of the transaction.</t>
  </si>
  <si>
    <t>Device is the initiator of the transaction.</t>
  </si>
  <si>
    <t>The nature of the transaction that the quote is requested for</t>
  </si>
  <si>
    <t>The type of party initiating the transaction that the quote is requested for</t>
  </si>
  <si>
    <t>Common ID between the FSPs for the quote object, decided by the Payer FSP. The ID should be reused for resends of the same quote for a transaction. A new ID should be generated for each new quote for a transaction.</t>
  </si>
  <si>
    <t>Common ID (decided by the Payer FSP) between the FSPs for the future transaction object. The actual transaction will be created as part of a successful transfer process. The ID should be reused for resends of the same quote for a transaction. A new ID should be generated for each new quote for a transaction.</t>
  </si>
  <si>
    <t>Identifies an optional previously-sent transaction request.</t>
  </si>
  <si>
    <t>Longitude and Latitude of the initiating Party. Can be used to detect fraud.</t>
  </si>
  <si>
    <t>A memo that will be attached to the transaction.</t>
  </si>
  <si>
    <t>Expiration is optional. It can be set to get a quick failure in case the peer FSP takes too long to respond. Also, it may be beneficial for Consumer, Agent, and Merchant to know that their request has a time limit.</t>
  </si>
  <si>
    <t>extension</t>
  </si>
  <si>
    <t>key</t>
  </si>
  <si>
    <t>value</t>
  </si>
  <si>
    <t>An optional extension element defined by a key-value pair</t>
  </si>
  <si>
    <t>The value for an optional extension element key</t>
  </si>
  <si>
    <t>The key for an optional extension element value</t>
  </si>
  <si>
    <t>The Latitude of the service initiating Party.</t>
  </si>
  <si>
    <t>The Longitude of the service initiating Party.</t>
  </si>
  <si>
    <t>Reference to the original transaction ID that is requested to be refunded.</t>
  </si>
  <si>
    <t>Free text indicating the reason for the refund.</t>
  </si>
  <si>
    <t>Element</t>
  </si>
  <si>
    <t>Data Dictionary Reference</t>
  </si>
  <si>
    <t>https://www.iso20022.org/standardsrepository/type/PaymentInstruction34</t>
  </si>
  <si>
    <t>https://www.iso20022.org/standardsrepository/type/PaymentIdentification6</t>
  </si>
  <si>
    <t>This field is used by Mojaloop to manage repeat requests of the same message.</t>
  </si>
  <si>
    <t>Action</t>
  </si>
  <si>
    <t>Discard</t>
  </si>
  <si>
    <t>Map</t>
  </si>
  <si>
    <t>ISO pain.001 XSD reference</t>
  </si>
  <si>
    <t>https://www.iso20022.org/standardsrepository/type/PartyIdentification135</t>
  </si>
  <si>
    <t>pain.001 doesn't accommodate this message, but we would need it. It should be added to SupplementaryData</t>
  </si>
  <si>
    <t>CustomerCreditTransferInitiation.PaymentInformation.PaymentInformationIdentification</t>
  </si>
  <si>
    <t>CustomerCreditTransferInitiation.PaymentInformation.CreditTransferTransactionInformation.PaymentIdentification.EndToEndIdentification</t>
  </si>
  <si>
    <t>CustomerCreditTransferInitiation.PaymentInformation.CreditTransferTransaction.CreditorAgent.FinancialInstitutionIdentification.ClearingSystemMemberIdentification.MemberIdentification</t>
  </si>
  <si>
    <t>CustomerCreditTransferInitiation.SupplementaryData</t>
  </si>
  <si>
    <t>CustomerCreditTransferInitiation.PaymentInformation.CreditTransferTransaction.Creditor.Name</t>
  </si>
  <si>
    <t>CustomerCreditTransferInitiation.PaymentInformation.CreditTransferTransaction.Creditor.Identification.PrivateIdentification.DateAndPlaceOfBirth.Birthdate</t>
  </si>
  <si>
    <t>CustomerCreditTransferInitiation.PaymentInformation.DebtorAgent.FinancialInstitutionIdentification.ClearingSystemMemberIdentification.MemberIdentification</t>
  </si>
  <si>
    <t>CustomerCreditTransferInitiation.PaymentInformation.Debtor.Name</t>
  </si>
  <si>
    <t>CustomerCreditTransferInitiation.PaymentInformation.Debtor.Identification.PrivateIdentification.DateAndPlaceOfBirth.Birthdate</t>
  </si>
  <si>
    <t>CustomerCreditTransferInitiation.PaymentInformation.CreditTransferTransaction.PaymentTypeInformation.CategoryPurpose.Proprietary</t>
  </si>
  <si>
    <t>https://www.iso20022.org/standardsrepository/type/CategoryPurpose1Choice</t>
  </si>
  <si>
    <t>CustomerCreditTransferInitiation.PaymentInformation.CreditTransferTransaction.RegulatoryReporting.*</t>
  </si>
  <si>
    <t>CustomerCreditTransferInitiation.PaymentInformation.CreditTransferTransaction.SupplementaryData</t>
  </si>
  <si>
    <t>CustomerCreditTransferInitiation.PaymentInformation.CreditTransferTransaction.RemittanceInformation</t>
  </si>
  <si>
    <t>CustomerCreditTransferInitiation.PaymentInformation.CreditTransferTransactionInformation.CreditorAccount.Proxy</t>
  </si>
  <si>
    <t>CustomerCreditTransferInitiation.PaymentInformation.DebtorAccount.Proxy</t>
  </si>
  <si>
    <t>CustomerCreditTransferInitiation.PaymentInformation.DebtorAccount.Identification.Other</t>
  </si>
  <si>
    <t>CustomerCreditTransferInitiation.PaymentInformation.CreditTransferTransaction.CreditorAccount.Identification.Other.Identification</t>
  </si>
  <si>
    <t>CustomerCreditTransferInitiation.PaymentInformation.CreditTransferTransaction.CreditorAccount.Identification.Other.Identification.SchemeName.Proprietary</t>
  </si>
  <si>
    <t>CustomerCreditTransferInitiation.PaymentInformation.DebtorAccount.Identification.Other.Identification.SchemeName.Proprietary</t>
  </si>
  <si>
    <t>CustomerCreditTransferInitiation.GroupHeader.InitiatingParty.Identification.ContactDetails.MobileNumber</t>
  </si>
  <si>
    <t>This should be the Payer MSISDN</t>
  </si>
  <si>
    <t>https://www.iso20022.org/standardsrepository/type/Contact4</t>
  </si>
  <si>
    <t>https://www.iso20022.org/standardsrepository/type/CustomerCreditTransferInitiationV10</t>
  </si>
  <si>
    <t>https://www.iso20022.org/standardsrepository/type/DateAndPlaceOfBirth1</t>
  </si>
  <si>
    <t>https://www.iso20022.org/standardsrepository/type/CreditTransferTransaction40</t>
  </si>
  <si>
    <t>https://www.iso20022.org/standardsrepository/type/RegulatoryReporting3</t>
  </si>
  <si>
    <t>This field contains several sub-fields that may have to be populated.</t>
  </si>
  <si>
    <t>Concatenate the 3-part name into one field</t>
  </si>
  <si>
    <t>Format date into ISODate format</t>
  </si>
  <si>
    <t>The participants of the scheme should be idetifiable to the scheme through the scheme's naming rules</t>
  </si>
  <si>
    <t>This is the identifier of the account of the payer</t>
  </si>
  <si>
    <t>This should be MSISDN, usually, but may be another classification of the account number</t>
  </si>
  <si>
    <t>This field is for KYC purposes and can be ignored for now</t>
  </si>
  <si>
    <t>This name field does not necessarily relate to the name of the account holder.</t>
  </si>
  <si>
    <t>https://www.iso20022.org/standardsrepository/type/GenericAccountIdentification1</t>
  </si>
  <si>
    <t>https://www.iso20022.org/standardsrepository/type/AccountSchemeName1Choice</t>
  </si>
  <si>
    <t>https://www.iso20022.org/standardsrepository/type/ClearingSystemMemberIdentification2</t>
  </si>
  <si>
    <t>CustomerCreditTransferInitiation.PaymentInformation.CreditTransferTransaction.Amount.EquivalentAmount.Amount</t>
  </si>
  <si>
    <t>CustomerCreditTransferInitiation.PaymentInformation.CreditTransferTransaction.Amount.EquivalentAmount.CurrencyOfTransfer</t>
  </si>
  <si>
    <t>The currency in ISO20022 is supposed to be in the destination account currency, not the source account currency; however forex is not yet completely implemented in Mojaloop. We'll work around this for now.</t>
  </si>
  <si>
    <t>https://www.iso20022.org/standardsrepository/type/EquivalentAmount2</t>
  </si>
  <si>
    <t>This field controls the disposition of the fee in relation to the transaction amount.</t>
  </si>
  <si>
    <t>There is no field for fees/charges in this message</t>
  </si>
  <si>
    <t>completedTimestamp</t>
  </si>
  <si>
    <t>transferState</t>
  </si>
  <si>
    <t>transferAmount.amount</t>
  </si>
  <si>
    <t>payeeReceiveAmount.currency</t>
  </si>
  <si>
    <t>payee.partyIdInfo.partyIdType</t>
  </si>
  <si>
    <t>payeeReceiveAmount.amount</t>
  </si>
  <si>
    <t>amount.currency</t>
  </si>
  <si>
    <t>extensionList.extension.key</t>
  </si>
  <si>
    <t>payee.partyIdInfo.partyIdentifier</t>
  </si>
  <si>
    <t>payeeFspFee.currency</t>
  </si>
  <si>
    <t>amount.amount</t>
  </si>
  <si>
    <t>extensionList.extension.value</t>
  </si>
  <si>
    <t>payee.partyIdInfo.partySubIdOrType</t>
  </si>
  <si>
    <t>payeeFspFee.amount</t>
  </si>
  <si>
    <t>payee.partyIdInfo.fspId</t>
  </si>
  <si>
    <t>payeeFspCommission.currency</t>
  </si>
  <si>
    <t>payee.partyIdInfo.extensionList.extension.key</t>
  </si>
  <si>
    <t>payeeFspCommission.amount</t>
  </si>
  <si>
    <t>payee.partyIdInfo.extensionList.extension.value</t>
  </si>
  <si>
    <t>payee.merchantClassificationCode</t>
  </si>
  <si>
    <t>geoCode.latitude</t>
  </si>
  <si>
    <t>payee.name</t>
  </si>
  <si>
    <t>geoCode.longitude</t>
  </si>
  <si>
    <t>payee.personalInfo.complexName.firstName</t>
  </si>
  <si>
    <t>payee.personalInfo.complexName.middleName</t>
  </si>
  <si>
    <t>payee.personalInfo.complexName.lastName</t>
  </si>
  <si>
    <t>payee.personalInfo.dateOfBirth</t>
  </si>
  <si>
    <t>payer.partyIdInfo.partyIdType</t>
  </si>
  <si>
    <t>payer.partyIdInfo.partyIdentifier</t>
  </si>
  <si>
    <t>payer.partyIdInfo.partySubIdOrType</t>
  </si>
  <si>
    <t>payer.partyIdInfo.fspId</t>
  </si>
  <si>
    <t>payer.partyIdInfo.extensionList.extension.key</t>
  </si>
  <si>
    <t>payer.partyIdInfo.extensionList.extension.value</t>
  </si>
  <si>
    <t>payer.merchantClassificationCode</t>
  </si>
  <si>
    <t>payer.name</t>
  </si>
  <si>
    <t>payer.personalInfo.complexName.firstName</t>
  </si>
  <si>
    <t>payer.personalInfo.complexName.middleName</t>
  </si>
  <si>
    <t>payer.personalInfo.complexName.lastName</t>
  </si>
  <si>
    <t>payer.personalInfo.dateOfBirth</t>
  </si>
  <si>
    <t>fees.currency</t>
  </si>
  <si>
    <t>fees.amount</t>
  </si>
  <si>
    <t>transactionType.scenario</t>
  </si>
  <si>
    <t>transactionType.subScenario</t>
  </si>
  <si>
    <t>transactionType.initiator</t>
  </si>
  <si>
    <t>transactionType.initiatorType</t>
  </si>
  <si>
    <t>transactionType.refundInfo.originalTransactionId</t>
  </si>
  <si>
    <t>transactionType.refundInfo.refundReason</t>
  </si>
  <si>
    <t>transactionType.balanceOfPayments</t>
  </si>
  <si>
    <t>quoteId (from URI)</t>
  </si>
  <si>
    <t>transferId (from URI)</t>
  </si>
  <si>
    <t>Optional list of extensions to the payee information, specific to deployment.</t>
  </si>
  <si>
    <t>Optional list of extensions to the payer information, specific to deployment.</t>
  </si>
  <si>
    <t>Optional list of extensions to the quote or transfer, specific to deployment.</t>
  </si>
  <si>
    <t>JSON Path</t>
  </si>
  <si>
    <t>extensionList.extension</t>
  </si>
  <si>
    <t>payee.partyIdInfo.extensionList</t>
  </si>
  <si>
    <t>payee.partyIdInfo.extensionList.extension</t>
  </si>
  <si>
    <t>payer.partyIdInfo.extensionList</t>
  </si>
  <si>
    <t>payer.partyIdInfo.extensionList.extension</t>
  </si>
  <si>
    <t>payee.partyIdInfo</t>
  </si>
  <si>
    <t>payer.partyIdInfo</t>
  </si>
  <si>
    <t>payee.personalInfo</t>
  </si>
  <si>
    <t>payee.personalInfo.complexName</t>
  </si>
  <si>
    <t>payer.personalInfo</t>
  </si>
  <si>
    <t>payer.personalInfo.complexName</t>
  </si>
  <si>
    <t>transactionType.refundInfo</t>
  </si>
  <si>
    <t>Combined Data</t>
  </si>
  <si>
    <t>Definition</t>
  </si>
  <si>
    <t>The common ID between the FSPs and the optional Switch for the transfer object, decided by the Payer FSP. The ID should be reused for resends of the same transfer. A new ID should be generated for each new transfer.</t>
  </si>
  <si>
    <t>Primary</t>
  </si>
  <si>
    <t>Secondary</t>
  </si>
  <si>
    <t>Payee FSP in the proposed financial transaction.</t>
  </si>
  <si>
    <t>Payer FSP in the proposed financial transaction.</t>
  </si>
  <si>
    <t>transferAmount</t>
  </si>
  <si>
    <t>payeeReceiveAmount</t>
  </si>
  <si>
    <t>payeeFspFee</t>
  </si>
  <si>
    <t>payeeFspCommission</t>
  </si>
  <si>
    <t>The amount of Money that the Payer FSP should transfer to the Payee FSP.</t>
  </si>
  <si>
    <t>Amount that the Payee should receive in the end-to-end transaction. Optional as the Payee FSP might not want to disclose any optional Payee fees.</t>
  </si>
  <si>
    <t>Payee FSP’s part of the transaction fee.</t>
  </si>
  <si>
    <t>Transaction commission from the Payee FSP.</t>
  </si>
  <si>
    <t>The currency of the transfer amount.</t>
  </si>
  <si>
    <t>The value of the transfer amount</t>
  </si>
  <si>
    <t>The currency of the payee receive amount.</t>
  </si>
  <si>
    <t>The value of the payee receive amount</t>
  </si>
  <si>
    <t>The currency of the payee FSP commission amount.</t>
  </si>
  <si>
    <t>The value of the  payee FSP commission amount</t>
  </si>
  <si>
    <t>Condition that must be attached to the transfer by the Payer.</t>
  </si>
  <si>
    <t>ILP Packet that must be attached to the transfer by the Payer.</t>
  </si>
  <si>
    <t>The fulfilment is a temporary secret that is generated for each financial transaction by the Payee FSP and used as the trigger to commit the transfers that make up an ILP payment, i.e. the fulfilment of the condition specified with the transaction. Mandatory if transfer has completed successfully.</t>
  </si>
  <si>
    <t>Time and date when the transaction was completed</t>
  </si>
  <si>
    <t>State of the transfer</t>
  </si>
  <si>
    <t>RECEIVED</t>
  </si>
  <si>
    <t>Next ledger has received the transfer.</t>
  </si>
  <si>
    <t>RESERVED</t>
  </si>
  <si>
    <t>Next ledger has reserved the transfer.</t>
  </si>
  <si>
    <t>COMMITTED</t>
  </si>
  <si>
    <t>Next ledger has successfully performed the transfer.</t>
  </si>
  <si>
    <t>ABORTED</t>
  </si>
  <si>
    <t>Next ledger has aborted the transfer due a rejection or failure to perform the transfer.</t>
  </si>
  <si>
    <t>Request that a Peer FSP create a new quote for performing a transaction.</t>
  </si>
  <si>
    <t>Callback to inform a Peer FSP about a previously- requested quote.</t>
  </si>
  <si>
    <t>Request a Peer FSP to perform the transfer of funds related to a transaction.</t>
  </si>
  <si>
    <t>Callback to inform a Peer FSP about a previously-performed transfer.</t>
  </si>
  <si>
    <t>POST /quotes</t>
  </si>
  <si>
    <t>PUT /quotes</t>
  </si>
  <si>
    <t>POST /transfers</t>
  </si>
  <si>
    <t>PUT /transfers</t>
  </si>
  <si>
    <t>ISO20022 data element</t>
  </si>
  <si>
    <t>Value</t>
  </si>
  <si>
    <t>Max35Text</t>
  </si>
  <si>
    <t>Point to point reference, as assigned by the instructing party, and sent to the next party in the chain to unambiguously identify the message.</t>
  </si>
  <si>
    <t>ISODateTime</t>
  </si>
  <si>
    <t>Date and time at which the message was created.</t>
  </si>
  <si>
    <t>Max15NumericText</t>
  </si>
  <si>
    <t>Number of individual transactions contained in the message.</t>
  </si>
  <si>
    <t>Type</t>
  </si>
  <si>
    <t>Xpath</t>
  </si>
  <si>
    <t>Document.CstmrCdtTrfInitn.GrpHdr.MsgId</t>
  </si>
  <si>
    <t>Document.CstmrCdtTrfInitn.GrpHdr.CreDtTm</t>
  </si>
  <si>
    <t>Document.CstmrCdtTrfInitn.GrpHdr.NbOfTxs</t>
  </si>
  <si>
    <t>Document.CstmrCdtTrfInitn.GrpHdr.InitgPty.Nm</t>
  </si>
  <si>
    <t>Max140Text</t>
  </si>
  <si>
    <t>Name by which a party is known and which is usually used to identify that party.</t>
  </si>
  <si>
    <t>Unique and unambiguous identification of a party.</t>
  </si>
  <si>
    <t>CustomerCreditTransferInitiationV11.GroupHeader.InitiatingParty.Identification.PrivateIdentification.DateAndPlaceOfBirth.BirthDate</t>
  </si>
  <si>
    <t>CustomerCreditTransferInitiationV11.GroupHeader.InitiatingParty.Identification.PrivateIdentification.Other.Identification</t>
  </si>
  <si>
    <t>CustomerCreditTransferInitiationV11.GroupHeader.InitiatingParty.Identification.PrivateIdentification.Other.SchemeName.Proprietary</t>
  </si>
  <si>
    <t>Mapped</t>
  </si>
  <si>
    <t>CustomerCreditTransferInitiationV11.GroupHeader.InitiatingParty.ContactDetails.MobileNumber</t>
  </si>
  <si>
    <t>CustomerCreditTransferInitiationV11.GroupHeader.MessageIdentification</t>
  </si>
  <si>
    <t>CustomerCreditTransferInitiationV11.GroupHeader.CreationDateTime</t>
  </si>
  <si>
    <t>CustomerCreditTransferInitiationV11.GroupHeader.NumberOfTransactions</t>
  </si>
  <si>
    <t>CustomerCreditTransferInitiationV11.GroupHeader.InitiatingParty.Name</t>
  </si>
  <si>
    <t>PhoneNumber</t>
  </si>
  <si>
    <t>ISODate</t>
  </si>
  <si>
    <t>Name of the identification scheme, in a free text form.</t>
  </si>
  <si>
    <t>Unique and unambiguous identification of a person.</t>
  </si>
  <si>
    <t>Collection of information that identifies a mobile phone number, as defined by telecom services.</t>
  </si>
  <si>
    <t>CustomerCreditTransferInitiationV11.PaymentInformation.PaymentInformationIdentification</t>
  </si>
  <si>
    <t>CustomerCreditTransferInitiationV11.PaymentInformation.PaymentMethod</t>
  </si>
  <si>
    <t>CustomerCreditTransferInitiationV11.PaymentInformation.CreditTransferTransactionInformation.PaymentIdentification.EndToEndIdentification</t>
  </si>
  <si>
    <t>CustomerCreditTransferInitiationV11.PaymentInformation.CreditTransferTransactionInformation.Amount.EquivalentAmount.Amount</t>
  </si>
  <si>
    <t>CustomerCreditTransferInitiationV11.PaymentInformation.CreditTransferTransactionInformation.Amount.EquivalentAmount.CurrencyOfTransfer</t>
  </si>
  <si>
    <t>Generate fresh UUID</t>
  </si>
  <si>
    <t>TRA</t>
  </si>
  <si>
    <t>PaymentMethod3Code</t>
  </si>
  <si>
    <t>Specifies the transfer method that will be used to transfer the cash. (TRA - TransferAdvice: Transfer of an amount of money in the books of the account servicer. An advice should be sent back to the account owner.)</t>
  </si>
  <si>
    <t>Unique identification, as assigned by a sending party, to unambiguously identify the payment information group within the message.</t>
  </si>
  <si>
    <t>Date at which the initiating party requests the clearing agent to process the payment. 
Usage: This is the date on which the debtor's account is to be debited. If payment by cheque, the date when the cheque must be generated by the bank.</t>
  </si>
  <si>
    <t>CustomerCreditTransferInitiationV11.PaymentInformation.RequestedExecutionDate.DateTime</t>
  </si>
  <si>
    <t>Timestamp at the time the message is received by the TMS API</t>
  </si>
  <si>
    <t>Notes</t>
  </si>
  <si>
    <t>This is a mandatory field in the ISO message, though this does not make a lot of sense in an instant payments environment. For now, set this date the same as the message creation date/time</t>
  </si>
  <si>
    <t>CustomerCreditTransferInitiationV11.PaymentInformation.Debtor.Name</t>
  </si>
  <si>
    <t>CustomerCreditTransferInitiationV11.PaymentInformation.Debtor.Identification.PrivateIdentification.DateAndPlaceOfBirth.BirthDate</t>
  </si>
  <si>
    <t>CustomerCreditTransferInitiationV11.PaymentInformation.Debtor.Identification.PrivateIdentification.Other.Identification</t>
  </si>
  <si>
    <t>CustomerCreditTransferInitiationV11.PaymentInformation.Debtor.Identification.PrivateIdentification.Other.SchemeName.Proprietary</t>
  </si>
  <si>
    <t>CustomerCreditTransferInitiationV11.PaymentInformation.Debtor.ContactDetails.MobileNumber</t>
  </si>
  <si>
    <t>Yes</t>
  </si>
  <si>
    <t>No</t>
  </si>
  <si>
    <t>N/A</t>
  </si>
  <si>
    <t>CustomerCreditTransferInitiationV11.PaymentInformation.DebtorAccount.Identification.Other.Identification</t>
  </si>
  <si>
    <t>CustomerCreditTransferInitiationV11.PaymentInformation.DebtorAccount.Identification.Other.Identification.SchemeName.Proprietary</t>
  </si>
  <si>
    <t>CustomerCreditTransferInitiationV11.PaymentInformation.DebtorAccount.Name</t>
  </si>
  <si>
    <t>CustomerCreditTransferInitiationV11.PaymentInformation.DebtorAgent.FinancialInstitutionIdentification.ClearingSystemMemberIdentification.MemberIdentification</t>
  </si>
  <si>
    <t>Identification of a member of a clearing system.</t>
  </si>
  <si>
    <t>Identification assigned by an institution.</t>
  </si>
  <si>
    <t>Max34Text</t>
  </si>
  <si>
    <t>Max70Text</t>
  </si>
  <si>
    <t>Unique identification assigned by the initiating party to unambiguously identify the transaction. This identification is passed on, unchanged, throughout the entire end-to-end chain.
Usage: The end-to-end identification can be used for reconciliation or to link tasks relating to the transaction. It can be included in several messages related to the transaction.</t>
  </si>
  <si>
    <t>This might be the CustomerCreditTransferInitiationV11.PaymentInformation.CreditTransferTransactionInformation.PaymentIdentification.UETR instead since it is a UUIDv4 Identifier. To be confirmed.</t>
  </si>
  <si>
    <t>CustomerCreditTransferInitiationV11.PaymentInformation.CreditTransferTransactionInformation.Creditor.Name</t>
  </si>
  <si>
    <t>CustomerCreditTransferInitiationV11.PaymentInformation.CreditTransferTransactionInformation.Creditor.Identification.PrivateIdentification.DateAndPlaceOfBirth.BirthDate</t>
  </si>
  <si>
    <t>CustomerCreditTransferInitiationV11.PaymentInformation.CreditTransferTransactionInformation.Creditor.Identification.PrivateIdentification.Other.Identification</t>
  </si>
  <si>
    <t>CustomerCreditTransferInitiationV11.PaymentInformation.CreditTransferTransactionInformation.Creditor.Identification.PrivateIdentification.Other.SchemeName.Proprietary</t>
  </si>
  <si>
    <t>CustomerCreditTransferInitiationV11.PaymentInformation.CreditTransferTransactionInformation.Creditor.ContactDetails.MobileNumber</t>
  </si>
  <si>
    <t>CustomerCreditTransferInitiationV11.PaymentInformation.CreditTransferTransactionInformation.CreditorAccount.Identification.Other.Identification</t>
  </si>
  <si>
    <t>CustomerCreditTransferInitiationV11.PaymentInformation.CreditTransferTransactionInformation.CreditorAccount.Identification.Other.Identification.SchemeName.Proprietary</t>
  </si>
  <si>
    <t>CustomerCreditTransferInitiationV11.PaymentInformation.CreditTransferTransactionInformation.CreditorAgent.FinancialInstitutionIdentification.ClearingSystemMemberIdentification.MemberIdentification</t>
  </si>
  <si>
    <t>CustomerCreditTransferInitiationV11.PaymentInformation.RequestedAdviceType.DebitAdvice.Code</t>
  </si>
  <si>
    <t>ADWD</t>
  </si>
  <si>
    <t>CustomerCreditTransferInitiationV11.PaymentInformation.CreditTransferTransactionInformation.Purpose.Code</t>
  </si>
  <si>
    <t>MP2P</t>
  </si>
  <si>
    <t>ExternalPurpose1Code</t>
  </si>
  <si>
    <t>Underlying reason for the payment transaction, as published in an external purpose code list.</t>
  </si>
  <si>
    <t>This code denotes a Mobile Person-to-Person payment, which is the pre-dominant use of Mojaloop. Merchant payments will be introduced at some point and some logic will be required to identify whether this code is MP2P or MP2B.</t>
  </si>
  <si>
    <t>CustomerCreditTransferInitiationV11.PaymentInformation.CreditTransferTransactionInformation.SupplementaryData.Envelope.Document.Debtor.MerchantClassificationCode</t>
  </si>
  <si>
    <t>CustomerCreditTransferInitiationV11.PaymentInformation.CreditTransferTransactionInformation.SupplementaryData.Envelope.Document.Creditor.MerchantClassificationCode</t>
  </si>
  <si>
    <t>ActiveOrHistoricCurrencyAndAmount</t>
  </si>
  <si>
    <t>Amount of money to be moved between the debtor and creditor, before deduction of charges, expressed in the currency as ordered by the initiating party.
Usage: This amount has to be transported unchanged through the transaction chain.</t>
  </si>
  <si>
    <t>CustomerCreditTransferInitiationV11.PaymentInformation.CreditTransferTransactionInformation.Amount.InstructedAmount.Amount</t>
  </si>
  <si>
    <t>CustomerCreditTransferInitiationV11.PaymentInformation.CreditTransferTransactionInformation.Amount.InstructedAmount.Currency</t>
  </si>
  <si>
    <t>CustomerCreditTransferInitiationV11.PaymentInformation.CreditTransferTransactionInformation.Amount.EquivalentAmount.Currency</t>
  </si>
  <si>
    <t>ActiveOrHistoricCurrencyCode</t>
  </si>
  <si>
    <t>Specifies the currency of the to be transferred amount, which is different from the currency of the debtor's account.</t>
  </si>
  <si>
    <t>Amount of money to be moved between debtor and creditor, before deduction of charges, expressed in the currency of the debtor's account, and to be moved in a different currency.
Usage: The first agent will convert the equivalent amount into the amount to be moved.</t>
  </si>
  <si>
    <t>CustomerCreditTransferInitiationV11.SupplementaryData.Envelope.Document.InitiatingParty.InitiatorType</t>
  </si>
  <si>
    <t>CustomerCreditTransferInitiationV11.PaymentInformation.CreditTransferTransactionInformation.ChargeBearer</t>
  </si>
  <si>
    <t>ChargeBearerTypeCode</t>
  </si>
  <si>
    <t>Specifies which party(ies) will pay charges due for processing of the instruction.</t>
  </si>
  <si>
    <t>Specifies the high level purpose of the instruction based on a set of pre-defined categories.
Usage: This is used by the initiating party to provide information concerning the processing of the payment. It is likely to trigger special processing by any of the agents involved in the payment chain.</t>
  </si>
  <si>
    <t>CustomerCreditTransferInitiation.PaymentInformation.CreditTransferTransactionInformation.RegulatoryReporting.DebitCreditReportingIndicator</t>
  </si>
  <si>
    <t>BOTH</t>
  </si>
  <si>
    <t>RegulatoryReportingType1Code</t>
  </si>
  <si>
    <t>Identifies whether the regulatory reporting information applies to the debit side, to the credit side or to both debit and credit sides of the transaction.</t>
  </si>
  <si>
    <t>CustomerCreditTransferInitiation.PaymentInformation.CreditTransferTransactionInformation.RegulatoryReporting.Details.Type</t>
  </si>
  <si>
    <t>Specifies the type of the information supplied in the regulatory reporting details.</t>
  </si>
  <si>
    <t>CustomerCreditTransferInitiation.PaymentInformation.CreditTransferTransactionInformation.RegulatoryReporting.Details.Code</t>
  </si>
  <si>
    <t>Max10Text</t>
  </si>
  <si>
    <t>Specifies the nature, purpose, and reason for the transaction to be reported for regulatory and statutory requirements in a coded form.</t>
  </si>
  <si>
    <t>BALANCE OF PAYMENTS</t>
  </si>
  <si>
    <t>CustomerCreditTransferInitiationV11.SupplementaryData.Envelope.Document.InitiatingParty.GeoLocation.latitude</t>
  </si>
  <si>
    <t>CustomerCreditTransferInitiationV11.SupplementaryData.Envelope.Document.InitiatingParty.GeoLocation.longitude</t>
  </si>
  <si>
    <t>CustomerCreditTransferInitiation.PaymentInformation.CreditTransferTransaction.RemittanceInformation.Unstructured</t>
  </si>
  <si>
    <t>Information supplied to enable the matching/reconciliation of an entry with the items that the payment is intended to settle, such as commercial invoices in an accounts' receivable system, in an unstructured form.</t>
  </si>
  <si>
    <t>CustomerCreditTransferInitiationV11.PaymentInformation.CreditTransferTransactionInformation.SupplementaryData.Envelope.Document.Expiration</t>
  </si>
  <si>
    <t>CreditorPaymentActivationRequestV09.GroupHeader.MessageIdentification</t>
  </si>
  <si>
    <t>CreditorPaymentActivationRequestV09.GroupHeader.CreationDateTime</t>
  </si>
  <si>
    <t>CreditorPaymentActivationRequestV09.GroupHeader.NumberOfTransactions</t>
  </si>
  <si>
    <t>CreditorPaymentActivationRequestV09.GroupHeader.InitiatingParty.Name</t>
  </si>
  <si>
    <t>CreditorPaymentActivationRequestV09.GroupHeader.InitiatingParty.Identification.PrivateIdentification.DateAndPlaceOfBirth.BirthDate</t>
  </si>
  <si>
    <t>CreditorPaymentActivationRequestV09.GroupHeader.InitiatingParty.Identification.PrivateIdentification.Other.Identification</t>
  </si>
  <si>
    <t>CreditorPaymentActivationRequestV09.GroupHeader.InitiatingParty.Identification.PrivateIdentification.Other.SchemeName.Proprietary</t>
  </si>
  <si>
    <t>CreditorPaymentActivationRequestV09.GroupHeader.InitiatingParty.ContactDetails.MobileNumber</t>
  </si>
  <si>
    <t>CreditorPaymentActivationRequestV09.PaymentInformation.PaymentInformationIdentification</t>
  </si>
  <si>
    <t>CreditorPaymentActivationRequestV09.PaymentInformation.PaymentMethod</t>
  </si>
  <si>
    <t>CreditorPaymentActivationRequestV09.PaymentInformation.RequestedAdviceType.DebitAdvice.Code</t>
  </si>
  <si>
    <t>CreditorPaymentActivationRequestV09.PaymentInformation.RequestedExecutionDate.DateTime</t>
  </si>
  <si>
    <t>CreditorPaymentActivationRequestV09.PaymentInformation.Debtor.Name</t>
  </si>
  <si>
    <t>CreditorPaymentActivationRequestV09.PaymentInformation.Debtor.Identification.PrivateIdentification.DateAndPlaceOfBirth.BirthDate</t>
  </si>
  <si>
    <t>CreditorPaymentActivationRequestV09.PaymentInformation.Debtor.Identification.PrivateIdentification.Other.Identification</t>
  </si>
  <si>
    <t>CreditorPaymentActivationRequestV09.PaymentInformation.Debtor.Identification.PrivateIdentification.Other.SchemeName.Proprietary</t>
  </si>
  <si>
    <t>CreditorPaymentActivationRequestV09.PaymentInformation.Debtor.ContactDetails.MobileNumber</t>
  </si>
  <si>
    <t>CreditorPaymentActivationRequestV09.PaymentInformation.DebtorAccount.Identification.Other.Identification</t>
  </si>
  <si>
    <t>CreditorPaymentActivationRequestV09.PaymentInformation.DebtorAccount.Identification.Other.Identification.SchemeName.Proprietary</t>
  </si>
  <si>
    <t>CreditorPaymentActivationRequestV09.PaymentInformation.DebtorAccount.Name</t>
  </si>
  <si>
    <t>CreditorPaymentActivationRequestV09.PaymentInformation.DebtorAgent.FinancialInstitutionIdentification.ClearingSystemMemberIdentification.MemberIdentification</t>
  </si>
  <si>
    <t>CreditorPaymentActivationRequestV09.PaymentInformation.CreditTransferTransactionInformation.PaymentIdentification.EndToEndIdentification</t>
  </si>
  <si>
    <t>CreditorPaymentActivationRequestV09.PaymentInformation.CreditTransferTransactionInformation.Amount.InstructedAmount.Amount</t>
  </si>
  <si>
    <t>CreditorPaymentActivationRequestV09.PaymentInformation.CreditTransferTransactionInformation.Amount.InstructedAmount.Currency</t>
  </si>
  <si>
    <t>CreditorPaymentActivationRequestV09.PaymentInformation.CreditTransferTransactionInformation.Amount.EquivalentAmount.Amount</t>
  </si>
  <si>
    <t>CreditorPaymentActivationRequestV09.PaymentInformation.CreditTransferTransactionInformation.Amount.EquivalentAmount.Currency</t>
  </si>
  <si>
    <t>CreditorPaymentActivationRequestV09.PaymentInformation.CreditTransferTransactionInformation.Amount.EquivalentAmount.CurrencyOfTransfer</t>
  </si>
  <si>
    <t>CreditorPaymentActivationRequestV09.PaymentInformation.CreditTransferTransactionInformation.ChargeBearer</t>
  </si>
  <si>
    <t>CreditorPaymentActivationRequestV09.PaymentInformation.CreditTransferTransactionInformation.CreditorAgent.FinancialInstitutionIdentification.ClearingSystemMemberIdentification.MemberIdentification</t>
  </si>
  <si>
    <t>CreditorPaymentActivationRequestV09.PaymentInformation.CreditTransferTransactionInformation.Creditor.Name</t>
  </si>
  <si>
    <t>CreditorPaymentActivationRequestV09.PaymentInformation.CreditTransferTransactionInformation.Creditor.Identification.PrivateIdentification.DateAndPlaceOfBirth.BirthDate</t>
  </si>
  <si>
    <t>CreditorPaymentActivationRequestV09.PaymentInformation.CreditTransferTransactionInformation.Creditor.Identification.PrivateIdentification.Other.Identification</t>
  </si>
  <si>
    <t>CreditorPaymentActivationRequestV09.PaymentInformation.CreditTransferTransactionInformation.Creditor.Identification.PrivateIdentification.Other.SchemeName.Proprietary</t>
  </si>
  <si>
    <t>CreditorPaymentActivationRequestV09.PaymentInformation.CreditTransferTransactionInformation.Creditor.ContactDetails.MobileNumber</t>
  </si>
  <si>
    <t>CreditorPaymentActivationRequestV09.PaymentInformation.CreditTransferTransactionInformation.CreditorAccount.Identification.Other.Identification</t>
  </si>
  <si>
    <t>CreditorPaymentActivationRequestV09.PaymentInformation.CreditTransferTransactionInformation.CreditorAccount.Identification.Other.Identification.SchemeName.Proprietary</t>
  </si>
  <si>
    <t>CreditorPaymentActivationRequestV09.PaymentInformation.CreditTransferTransactionInformation.Purpose.Code</t>
  </si>
  <si>
    <t>CreditorPaymentActivationRequestV09.SupplementaryData.Envelope.Document.InitiatingParty.GeoLocation.latitude</t>
  </si>
  <si>
    <t>CreditorPaymentActivationRequestV09.SupplementaryData.Envelope.Document.InitiatingParty.GeoLocation.longitude</t>
  </si>
  <si>
    <t>Added through enrichment</t>
  </si>
  <si>
    <t>Retrieved from incoming message URI</t>
  </si>
  <si>
    <t>CreditorPaymentActivationRequestV09.PaymentInformation.ExpiryDate.DateTime</t>
  </si>
  <si>
    <t>Date by which the debtor must have accepted or rejected the request.
Usage: 
Beyond this date, the request becomes void and cannot be processed anymore.</t>
  </si>
  <si>
    <t>CreditorPaymentActivationRequestV09.PaymentInformation.CreditTransferTransactionInformation.SupplementaryData.Envelope.Document.PayeeReceiveAmount.Amount</t>
  </si>
  <si>
    <t>CreditorPaymentActivationRequestV09.PaymentInformation.CreditTransferTransactionInformation.SupplementaryData.Envelope.Document.PayeeReceiveAmount.Currency</t>
  </si>
  <si>
    <t>CreditorPaymentActivationRequestV09.PaymentInformation.CreditTransferTransactionInformation.SupplementaryData.Envelope.Document.PayeeFspCommission.Amount</t>
  </si>
  <si>
    <t>CreditorPaymentActivationRequestV09.PaymentInformation.CreditTransferTransactionInformation.SupplementaryData.Envelope.Document.PayeeFspFee.Amount</t>
  </si>
  <si>
    <t>CreditorPaymentActivationRequestV09.PaymentInformation.CreditTransferTransactionInformation.SupplementaryData.Envelope.Document.PayeeFspFee.Currency</t>
  </si>
  <si>
    <t>CreditorPaymentActivationRequestV09.PaymentInformation.CreditTransferTransactionInformation.SupplementaryData.Envelope.Document.PayeeFspCommission.Currency</t>
  </si>
  <si>
    <t>FIToFICustomerCreditTransferV10.GroupHeader.MessageIdentification</t>
  </si>
  <si>
    <t>FIToFICustomerCreditTransferV10.GroupHeader.CreationDateTime</t>
  </si>
  <si>
    <t>FIToFICustomerCreditTransferV10.GroupHeader.NumberOfTransactions</t>
  </si>
  <si>
    <t>FIToFICustomerCreditTransferV10.GroupHeader.SettlementInformation.SettlementMethod</t>
  </si>
  <si>
    <t>CLRG</t>
  </si>
  <si>
    <t>SettlementMethod1Code</t>
  </si>
  <si>
    <t>Specifies the method used to settle the credit transfer instruction.</t>
  </si>
  <si>
    <t>FIToFICustomerCreditTransferV10.CreditTransferTransactionInformation.PaymentIdentification.EndToEndIdentification</t>
  </si>
  <si>
    <t>Unique identification, as assigned by an instructing party for an instructed party, to unambiguously identify the instruction.
Usage: The instruction identification is a point to point reference that can be used between the instructing party and the instructed party to refer to the individual instruction. It can be included in several messages related to the instruction.</t>
  </si>
  <si>
    <t>FIToFICustomerCreditTransferV10.CreditTransferTransactionInformation.PaymentIdentification.InstructionIdentification</t>
  </si>
  <si>
    <t>Enriched from Quote via TransferID</t>
  </si>
  <si>
    <t>FIToFICustomerCreditTransferV10.CreditTransferTransactionInformation.ChargeBearer</t>
  </si>
  <si>
    <t>FIToFICustomerCreditTransferV10.CreditTransferTransactionInformation.InterbankSettlementAmount.Amount</t>
  </si>
  <si>
    <t>FIToFICustomerCreditTransferV10.CreditTransferTransactionInformation.InterbankSettlementAmount.Currency</t>
  </si>
  <si>
    <t>ActiveCurrencyAndAmount</t>
  </si>
  <si>
    <t>Amount of money moved between the instructing agent and the instructed agent.</t>
  </si>
  <si>
    <t>FIToFICustomerCreditTransferV10.CreditTransferTransactionInformation.CreditorAgent.FinancialInstitutionIdentification.ClearingSystemMemberIdentification.MemberIdentification</t>
  </si>
  <si>
    <t>FIToFICustomerCreditTransferV10.CreditTransferTransactionInformation.Creditor.Name</t>
  </si>
  <si>
    <t>FIToFICustomerCreditTransferV10.CreditTransferTransactionInformation.Creditor.Identification.PrivateIdentification.DateAndPlaceOfBirth.BirthDate</t>
  </si>
  <si>
    <t>FIToFICustomerCreditTransferV10.CreditTransferTransactionInformation.Creditor.Identification.PrivateIdentification.Other.Identification</t>
  </si>
  <si>
    <t>FIToFICustomerCreditTransferV10.CreditTransferTransactionInformation.Creditor.Identification.PrivateIdentification.Other.SchemeName.Proprietary</t>
  </si>
  <si>
    <t>FIToFICustomerCreditTransferV10.CreditTransferTransactionInformation.Creditor.ContactDetails.MobileNumber</t>
  </si>
  <si>
    <t>FIToFICustomerCreditTransferV10.CreditTransferTransactionInformation.CreditorAccount.Identification.Other.Identification</t>
  </si>
  <si>
    <t>FIToFICustomerCreditTransferV10.CreditTransferTransactionInformation.CreditorAccount.Identification.Other.Identification.SchemeName.Proprietary</t>
  </si>
  <si>
    <t>FIToFICustomerCreditTransferV10.CreditTransferTransactionInformation.Purpose.Code</t>
  </si>
  <si>
    <t>CustomerCreditTransferInitiation.CreditTransferTransactionInformation.RegulatoryReporting.DebitCreditReportingIndicator</t>
  </si>
  <si>
    <t>CustomerCreditTransferInitiation.CreditTransferTransactionInformation.RegulatoryReporting.Details.Type</t>
  </si>
  <si>
    <t>CustomerCreditTransferInitiation.CreditTransferTransactionInformation.RegulatoryReporting.Details.Code</t>
  </si>
  <si>
    <t>CustomerCreditTransferInitiation.CreditTransferTransaction.RemittanceInformation.Unstructured</t>
  </si>
  <si>
    <t>FIToFICustomerCreditTransferV10.CreditTransferTransactionInformation.SupplementaryData.Envelope.Document.Expiration</t>
  </si>
  <si>
    <t>FIToFICustomerCreditTransferV10.CreditTransferTransactionInformation.Debtor.Name</t>
  </si>
  <si>
    <t>FIToFICustomerCreditTransferV10.CreditTransferTransactionInformation.Debtor.Identification.PrivateIdentification.DateAndPlaceOfBirth.BirthDate</t>
  </si>
  <si>
    <t>FIToFICustomerCreditTransferV10.CreditTransferTransactionInformation.Debtor.Identification.PrivateIdentification.Other.Identification</t>
  </si>
  <si>
    <t>FIToFICustomerCreditTransferV10.CreditTransferTransactionInformation.Debtor.Identification.PrivateIdentification.Other.SchemeName.Proprietary</t>
  </si>
  <si>
    <t>FIToFICustomerCreditTransferV10.CreditTransferTransactionInformation.Debtor.ContactDetails.MobileNumber</t>
  </si>
  <si>
    <t>FIToFICustomerCreditTransferV10.CreditTransferTransactionInformation.DebtorAccount.Identification.Other.Identification</t>
  </si>
  <si>
    <t>FIToFICustomerCreditTransferV10.CreditTransferTransactionInformation.DebtorAccount.Identification.Other.Identification.SchemeName.Proprietary</t>
  </si>
  <si>
    <t>FIToFICustomerCreditTransferV10.CreditTransferTransactionInformation.DebtorAccount.Name</t>
  </si>
  <si>
    <t>FIToFICustomerCreditTransferV10.CreditTransferTransactionInformation.DebtorAgent.FinancialInstitutionIdentification.ClearingSystemMemberIdentification.MemberIdentification</t>
  </si>
  <si>
    <t>CreditorPaymentActivationRequestV09.PaymentInformation.CreditTransferTransactionInformation.CreditorAccount.Name</t>
  </si>
  <si>
    <t>CustomerCreditTransferInitiationV11.PaymentInformation.CreditTransferTransactionInformation.CreditorAccount.Name</t>
  </si>
  <si>
    <t>FIToFICustomerCreditTransferV10.CreditTransferTransactionInformation.CreditorAccount.Name</t>
  </si>
  <si>
    <t>Name of the account, as assigned by the account servicing institution, in agreement with the account owner in order to provide an additional means of identification of the account.
Usage: The account name is different from the account owner name. The account name is used in certain user communities to provide a means of identifying the account, in addition to the account owner's identity and the account number.</t>
  </si>
  <si>
    <t>FIToFICustomerCreditTransferV10.CreditTransferTransactionInformation.InstructedAmount.Amount</t>
  </si>
  <si>
    <t>FIToFICustomerCreditTransferV10.CreditTransferTransactionInformation.InstructedAmount.Currency</t>
  </si>
  <si>
    <t>CustomerCreditTransferInitiationV11.PaymentInformation.CreditTransferTransactionInformation.SupplementaryData.Envelope.Document.PayerFspFees.Amount</t>
  </si>
  <si>
    <t>CustomerCreditTransferInitiationV11.PaymentInformation.CreditTransferTransactionInformation.SupplementaryData.Envelope.Document.PayerFspFees.Currency</t>
  </si>
  <si>
    <t>Transaction charges to be paid by the charge bearer.</t>
  </si>
  <si>
    <t>Agent that takes the transaction charges or to which the transaction charges are due.</t>
  </si>
  <si>
    <t>FIToFICustomerCreditTransferV10.CreditTransferTransactionInformation.Charges[1].Amount.Amount</t>
  </si>
  <si>
    <t>FIToFICustomerCreditTransferV10.CreditTransferTransactionInformation.Charges[1].Amount.Currency</t>
  </si>
  <si>
    <t>FIToFICustomerCreditTransferV10.CreditTransferTransactionInformation.Charges[2].Amount.Amount</t>
  </si>
  <si>
    <t>FIToFICustomerCreditTransferV10.CreditTransferTransactionInformation.Charges[2].Amount.Currency</t>
  </si>
  <si>
    <t>FIToFICustomerCreditTransferV10.CreditTransferTransactionInformation.Charges[3].Amount.Amount</t>
  </si>
  <si>
    <t>FIToFICustomerCreditTransferV10.CreditTransferTransactionInformation.Charges[3].Amount.Currency</t>
  </si>
  <si>
    <t>FIToFICustomerCreditTransferV10.CreditTransferTransactionInformation.Charges[1].Agent.FinancialInstitutionIdentification.ClearingSystemMemberIdentification.MemberIdentification</t>
  </si>
  <si>
    <t>FIToFICustomerCreditTransferV10.CreditTransferTransactionInformation.Charges[2].Agent.FinancialInstitutionIdentification.ClearingSystemMemberIdentification.MemberIdentification</t>
  </si>
  <si>
    <t>FIToFICustomerCreditTransferV10.CreditTransferTransactionInformation.Charges[3].Agent.FinancialInstitutionIdentification.ClearingSystemMemberIdentification.MemberIdentification</t>
  </si>
  <si>
    <t>Fees to the Payer FSP by the Payer</t>
  </si>
  <si>
    <t>Fees to the Payee FSP by the Payer</t>
  </si>
  <si>
    <t>Payee FSP commission to the Payer FSP by the Payer - Unsure if this is paid by the Payer as part of the total amount or the Payee FSP as a separate amount - TBC</t>
  </si>
  <si>
    <t>FIToFICustomerCreditTransferV10.CreditTransferTransactionInformation.InitiatingParty.Name</t>
  </si>
  <si>
    <t>FIToFICustomerCreditTransferV10.CreditTransferTransactionInformation.InitiatingParty.Identification.PrivateIdentification.DateAndPlaceOfBirth.BirthDate</t>
  </si>
  <si>
    <t>FIToFICustomerCreditTransferV10.CreditTransferTransactionInformation.InitiatingParty.Identification.PrivateIdentification.Other.Identification</t>
  </si>
  <si>
    <t>FIToFICustomerCreditTransferV10.CreditTransferTransactionInformation.InitiatingParty.Identification.PrivateIdentification.Other.SchemeName.Proprietary</t>
  </si>
  <si>
    <t>FIToFICustomerCreditTransferV10.CreditTransferTransactionInformation.InitiatingParty.ContactDetails.MobileNumber</t>
  </si>
  <si>
    <t>FIToFIPaymentStatusReportV12.GroupHeader.MessageIdentification</t>
  </si>
  <si>
    <t>FIToFIPaymentStatusReportV12.GroupHeader.CreationDateTime</t>
  </si>
  <si>
    <t>FIToFIPaymentStatusReportV12.GroupHeader.OriginalBusinessQuery.MessageIdentification</t>
  </si>
  <si>
    <t>Point to point reference, as assigned by the original initiating party, to unambiguously identify the original query message.</t>
  </si>
  <si>
    <t>FIToFIPaymentStatusReportV12.GroupHeader.OriginalBusinessQuery.CreationDateTime</t>
  </si>
  <si>
    <t>Date and time at which the original message was created.</t>
  </si>
  <si>
    <t>Enriched from Transfer via TransferID</t>
  </si>
  <si>
    <t>FIToFIPaymentStatusReportV12.TransactionInformationAndStatus.OriginalInstructionIdentification</t>
  </si>
  <si>
    <t>FIToFIPaymentStatusReportV12.TransactionInformationAndStatus.OriginalEndtoEndIdentification</t>
  </si>
  <si>
    <t>FIToFIPaymentStatusReportV12.TransactionInformationAndStatus.TransactionStatus</t>
  </si>
  <si>
    <t>ExternalPaymentTransactionStatusCode</t>
  </si>
  <si>
    <t>Specifies the status of an individual payment instructions, as published in an external payment transaction status code set.
External code sets can be downloaded from www.iso20022.org.
minLength: 1 maxLength: 4</t>
  </si>
  <si>
    <t>Mapped from Mojaloop statuses to ISO statuses.</t>
  </si>
  <si>
    <t>FIToFIPaymentStatusReportV12.TransactionInformationAndStatus.AcceptanceDateTime</t>
  </si>
  <si>
    <t>Point in time when the payment order from the initiating party meets the processing conditions of the account servicing agent. This means that the account servicing agent has received the payment order and has applied checks such as authorisation, availability of funds.</t>
  </si>
  <si>
    <t>FIToFIPaymentStatusReportV12.TransactionInformationAndStatus.Charges[1].Amount.Amount</t>
  </si>
  <si>
    <t>FIToFIPaymentStatusReportV12.TransactionInformationAndStatus.Charges[1].Amount.Currency</t>
  </si>
  <si>
    <t>FIToFIPaymentStatusReportV12.TransactionInformationAndStatus.Charges[1].Agent.FinancialInstitutionIdentification.ClearingSystemMemberIdentification.MemberIdentification</t>
  </si>
  <si>
    <t>FIToFIPaymentStatusReportV12.TransactionInformationAndStatus.Charges[2].Amount.Amount</t>
  </si>
  <si>
    <t>FIToFIPaymentStatusReportV12.TransactionInformationAndStatus.Charges[2].Amount.Currency</t>
  </si>
  <si>
    <t>FIToFIPaymentStatusReportV12.TransactionInformationAndStatus.Charges[2].Agent.FinancialInstitutionIdentification.ClearingSystemMemberIdentification.MemberIdentification</t>
  </si>
  <si>
    <t>FIToFIPaymentStatusReportV12.TransactionInformationAndStatus.Charges[3].Amount.Amount</t>
  </si>
  <si>
    <t>FIToFIPaymentStatusReportV12.TransactionInformationAndStatus.Charges[3].Amount.Currency</t>
  </si>
  <si>
    <t>FIToFIPaymentStatusReportV12.TransactionInformationAndStatus.Charges[3].Agent.FinancialInstitutionIdentification.ClearingSystemMemberIdentification.MemberIdentification</t>
  </si>
  <si>
    <t>FIToFIPaymentStatusReportV12.TransactionInformationAndStatus.InstructingAgent.FinancialInstitutionIdentification.ClearingSystemMemberIdentification.MemberIdentification</t>
  </si>
  <si>
    <t>FIToFIPaymentStatusReportV12.TransactionInformationAndStatus.InstructedAgent.FinancialInstitutionIdentification.ClearingSystemMemberIdentification.MemberIdentification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</si>
</sst>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2"/>
      <color rgb="FF333333"/>
      <name val="Arial"/>
      <family val="2"/>
    </font>
    <font>
      <b/>
      <sz val="12"/>
      <color rgb="FF333333"/>
      <name val="Arial"/>
      <family val="2"/>
    </font>
    <font>
      <i/>
      <sz val="12"/>
      <color rgb="FF333333"/>
      <name val="Arial"/>
      <family val="2"/>
    </font>
    <font>
      <sz val="12"/>
      <color rgb="FF24292E"/>
      <name val="Segoe UI"/>
      <family val="2"/>
    </font>
    <font>
      <sz val="12"/>
      <color rgb="FF24292E"/>
      <name val="Segoe UI"/>
      <family val="2"/>
    </font>
  </fonts>
  <fills count="7">
    <fill>
      <patternFill patternType="none"/>
    </fill>
    <fill>
      <patternFill patternType="gray125"/>
    </fill>
    <fill>
      <patternFill patternType="solid">
        <fgColor rgb="FFFFFFFF"/>
        <bgColor indexed="64"/>
      </patternFill>
    </fill>
    <fill>
      <patternFill patternType="solid">
        <fgColor rgb="FFF8F8F8"/>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0" tint="-0.14999847407452621"/>
        <bgColor indexed="64"/>
      </patternFill>
    </fill>
  </fills>
  <borders count="9">
    <border>
      <left/>
      <right/>
      <top/>
      <bottom/>
      <diagonal/>
    </border>
    <border>
      <left/>
      <right/>
      <top/>
      <bottom style="thin">
        <color indexed="64"/>
      </bottom>
      <diagonal/>
    </border>
    <border>
      <left style="medium">
        <color rgb="FFDDDDDD"/>
      </left>
      <right style="medium">
        <color rgb="FFDDDDDD"/>
      </right>
      <top style="medium">
        <color rgb="FFDDDDDD"/>
      </top>
      <bottom style="medium">
        <color rgb="FFDDDDDD"/>
      </bottom>
      <diagonal/>
    </border>
    <border>
      <left style="thin">
        <color rgb="FF000000"/>
      </left>
      <right style="medium">
        <color rgb="FFDDDDDD"/>
      </right>
      <top style="thin">
        <color rgb="FF000000"/>
      </top>
      <bottom style="medium">
        <color rgb="FFDDDDDD"/>
      </bottom>
      <diagonal/>
    </border>
    <border>
      <left style="medium">
        <color rgb="FFDDDDDD"/>
      </left>
      <right style="thin">
        <color rgb="FF000000"/>
      </right>
      <top style="thin">
        <color rgb="FF000000"/>
      </top>
      <bottom style="medium">
        <color rgb="FFDDDDDD"/>
      </bottom>
      <diagonal/>
    </border>
    <border>
      <left style="thin">
        <color rgb="FF000000"/>
      </left>
      <right style="medium">
        <color rgb="FFDDDDDD"/>
      </right>
      <top style="medium">
        <color rgb="FFDDDDDD"/>
      </top>
      <bottom style="thin">
        <color rgb="FF000000"/>
      </bottom>
      <diagonal/>
    </border>
    <border>
      <left style="medium">
        <color rgb="FFDDDDDD"/>
      </left>
      <right style="thin">
        <color rgb="FF000000"/>
      </right>
      <top style="medium">
        <color rgb="FFDDDDDD"/>
      </top>
      <bottom style="thin">
        <color rgb="FF000000"/>
      </bottom>
      <diagonal/>
    </border>
    <border>
      <left style="thin">
        <color rgb="FF000000"/>
      </left>
      <right style="medium">
        <color rgb="FFDDDDDD"/>
      </right>
      <top style="medium">
        <color rgb="FFDDDDDD"/>
      </top>
      <bottom style="medium">
        <color rgb="FFDDDDDD"/>
      </bottom>
      <diagonal/>
    </border>
    <border>
      <left style="medium">
        <color rgb="FFDDDDDD"/>
      </left>
      <right style="thin">
        <color rgb="FF000000"/>
      </right>
      <top style="medium">
        <color rgb="FFDDDDDD"/>
      </top>
      <bottom style="medium">
        <color rgb="FFDDDDDD"/>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0" borderId="1" xfId="0" applyFont="1" applyBorder="1" applyAlignment="1">
      <alignment horizontal="center"/>
    </xf>
    <xf numFmtId="0" fontId="1" fillId="0" borderId="1" xfId="0" applyFont="1" applyFill="1" applyBorder="1" applyAlignment="1">
      <alignment horizontal="center"/>
    </xf>
    <xf numFmtId="0" fontId="0" fillId="0" borderId="0" xfId="0" applyFont="1" applyBorder="1" applyAlignment="1">
      <alignment horizontal="left"/>
    </xf>
    <xf numFmtId="0" fontId="0" fillId="0" borderId="0" xfId="0" applyFont="1" applyFill="1" applyBorder="1" applyAlignment="1">
      <alignment horizontal="left"/>
    </xf>
    <xf numFmtId="0" fontId="0" fillId="0" borderId="0" xfId="0" applyAlignment="1">
      <alignment horizontal="centerContinuous"/>
    </xf>
    <xf numFmtId="0" fontId="0" fillId="0" borderId="0" xfId="0" applyAlignment="1">
      <alignment horizontal="centerContinuous" wrapText="1"/>
    </xf>
    <xf numFmtId="0" fontId="2" fillId="0" borderId="0" xfId="0" applyFont="1" applyAlignment="1">
      <alignment horizontal="centerContinuous"/>
    </xf>
    <xf numFmtId="0" fontId="0" fillId="0" borderId="0" xfId="0" applyAlignment="1">
      <alignment wrapText="1"/>
    </xf>
    <xf numFmtId="0" fontId="5" fillId="2" borderId="2" xfId="0" applyFont="1" applyFill="1" applyBorder="1" applyAlignment="1">
      <alignment horizontal="left" vertical="center" wrapText="1" indent="1"/>
    </xf>
    <xf numFmtId="0" fontId="4" fillId="2" borderId="2" xfId="0" applyFont="1" applyFill="1" applyBorder="1" applyAlignment="1">
      <alignment horizontal="left" vertical="center" wrapText="1" indent="1"/>
    </xf>
    <xf numFmtId="0" fontId="5" fillId="3" borderId="2" xfId="0" applyFont="1" applyFill="1" applyBorder="1" applyAlignment="1">
      <alignment horizontal="left" vertical="center" wrapText="1" indent="1"/>
    </xf>
    <xf numFmtId="0" fontId="4" fillId="3" borderId="2" xfId="0" applyFont="1" applyFill="1" applyBorder="1" applyAlignment="1">
      <alignment horizontal="left" vertical="center" wrapText="1" indent="1"/>
    </xf>
    <xf numFmtId="0" fontId="5" fillId="3" borderId="3" xfId="0" applyFont="1" applyFill="1" applyBorder="1" applyAlignment="1">
      <alignment vertical="top" wrapText="1" indent="1"/>
    </xf>
    <xf numFmtId="0" fontId="4" fillId="3" borderId="4" xfId="0" applyFont="1" applyFill="1" applyBorder="1" applyAlignment="1">
      <alignment horizontal="left" vertical="center" wrapText="1" indent="1"/>
    </xf>
    <xf numFmtId="0" fontId="5" fillId="2" borderId="5" xfId="0" applyFont="1" applyFill="1" applyBorder="1" applyAlignment="1">
      <alignment vertical="top" wrapText="1" indent="1"/>
    </xf>
    <xf numFmtId="0" fontId="4" fillId="2" borderId="6" xfId="0" applyFont="1" applyFill="1" applyBorder="1" applyAlignment="1">
      <alignment horizontal="left" vertical="center" wrapText="1" indent="1"/>
    </xf>
    <xf numFmtId="0" fontId="5" fillId="2" borderId="7" xfId="0" applyFont="1" applyFill="1" applyBorder="1" applyAlignment="1">
      <alignment vertical="top" wrapText="1" indent="1"/>
    </xf>
    <xf numFmtId="0" fontId="4" fillId="2" borderId="8" xfId="0" applyFont="1" applyFill="1" applyBorder="1" applyAlignment="1">
      <alignment horizontal="left" vertical="center" wrapText="1" indent="1"/>
    </xf>
    <xf numFmtId="0" fontId="5" fillId="3" borderId="7" xfId="0" applyFont="1" applyFill="1" applyBorder="1" applyAlignment="1">
      <alignment vertical="top" wrapText="1" indent="1"/>
    </xf>
    <xf numFmtId="0" fontId="4" fillId="3" borderId="8" xfId="0" applyFont="1" applyFill="1" applyBorder="1" applyAlignment="1">
      <alignment horizontal="left" vertical="center" wrapText="1" indent="1"/>
    </xf>
    <xf numFmtId="0" fontId="2" fillId="0" borderId="0" xfId="0" applyFont="1" applyAlignment="1">
      <alignment horizontal="centerContinuous" vertical="top"/>
    </xf>
    <xf numFmtId="0" fontId="0" fillId="0" borderId="0" xfId="0" applyAlignment="1">
      <alignment horizontal="centerContinuous" vertical="top"/>
    </xf>
    <xf numFmtId="0" fontId="0" fillId="0" borderId="0" xfId="0" applyAlignment="1">
      <alignment horizontal="centerContinuous" vertical="top" wrapText="1"/>
    </xf>
    <xf numFmtId="0" fontId="0" fillId="0" borderId="0" xfId="0" applyAlignment="1">
      <alignment vertical="top"/>
    </xf>
    <xf numFmtId="0" fontId="1" fillId="0" borderId="1" xfId="0" applyFont="1" applyBorder="1" applyAlignment="1">
      <alignment horizontal="center" vertical="top"/>
    </xf>
    <xf numFmtId="0" fontId="1" fillId="0" borderId="1" xfId="0" applyFont="1" applyFill="1" applyBorder="1" applyAlignment="1">
      <alignment horizontal="center" vertical="top" wrapText="1"/>
    </xf>
    <xf numFmtId="0" fontId="3" fillId="0" borderId="0" xfId="1" applyAlignment="1">
      <alignment vertical="top"/>
    </xf>
    <xf numFmtId="0" fontId="0" fillId="0" borderId="0" xfId="0" applyAlignment="1">
      <alignment vertical="top" wrapText="1"/>
    </xf>
    <xf numFmtId="0" fontId="0" fillId="4" borderId="0" xfId="0" applyFill="1" applyAlignment="1">
      <alignment vertical="top"/>
    </xf>
    <xf numFmtId="0" fontId="0" fillId="4" borderId="0" xfId="0" applyFill="1" applyAlignment="1">
      <alignment vertical="top" wrapText="1"/>
    </xf>
    <xf numFmtId="0" fontId="1" fillId="0" borderId="1" xfId="0" applyFont="1" applyBorder="1" applyAlignment="1">
      <alignment horizontal="center" vertical="top" wrapText="1"/>
    </xf>
    <xf numFmtId="0" fontId="7" fillId="2" borderId="0" xfId="0" applyFont="1" applyFill="1" applyAlignment="1">
      <alignment horizontal="left" vertical="center" wrapText="1" indent="1"/>
    </xf>
    <xf numFmtId="0" fontId="8" fillId="2" borderId="0" xfId="0" applyFont="1" applyFill="1" applyAlignment="1">
      <alignment horizontal="left" vertical="center" wrapText="1" indent="1"/>
    </xf>
    <xf numFmtId="0" fontId="0" fillId="5" borderId="0" xfId="0" applyFill="1" applyAlignment="1">
      <alignment vertical="top"/>
    </xf>
    <xf numFmtId="0" fontId="0" fillId="5" borderId="0" xfId="0" applyFill="1" applyAlignment="1">
      <alignment vertical="top" wrapText="1"/>
    </xf>
    <xf numFmtId="0" fontId="0" fillId="5" borderId="0" xfId="0" applyFill="1"/>
    <xf numFmtId="0" fontId="0" fillId="6" borderId="0" xfId="0" applyFill="1" applyAlignment="1">
      <alignment horizontal="right" vertical="top"/>
    </xf>
    <xf numFmtId="0" fontId="0" fillId="6" borderId="0" xfId="0" applyFill="1" applyAlignment="1">
      <alignment vertical="top" wrapText="1"/>
    </xf>
    <xf numFmtId="0" fontId="0" fillId="6" borderId="0" xfId="0" applyFill="1" applyAlignment="1">
      <alignment vertical="top"/>
    </xf>
    <xf numFmtId="0" fontId="0" fillId="0" borderId="0" xfId="0" applyAlignment="1">
      <alignment horizontal="left" vertical="top" wrapText="1"/>
    </xf>
    <xf numFmtId="0" fontId="0" fillId="0" borderId="0" xfId="0" quotePrefix="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iso20022.org/standardsrepository/type/CustomerCreditTransferInitiationV10" TargetMode="External"/><Relationship Id="rId13" Type="http://schemas.openxmlformats.org/officeDocument/2006/relationships/hyperlink" Target="https://www.iso20022.org/standardsrepository/type/PartyIdentification135" TargetMode="External"/><Relationship Id="rId18" Type="http://schemas.openxmlformats.org/officeDocument/2006/relationships/hyperlink" Target="https://www.iso20022.org/standardsrepository/type/DateAndPlaceOfBirth1" TargetMode="External"/><Relationship Id="rId26" Type="http://schemas.openxmlformats.org/officeDocument/2006/relationships/hyperlink" Target="https://www.iso20022.org/standardsrepository/type/ClearingSystemMemberIdentification2" TargetMode="External"/><Relationship Id="rId3" Type="http://schemas.openxmlformats.org/officeDocument/2006/relationships/hyperlink" Target="https://www.iso20022.org/standardsrepository/type/PartyIdentification135" TargetMode="External"/><Relationship Id="rId21" Type="http://schemas.openxmlformats.org/officeDocument/2006/relationships/hyperlink" Target="https://www.iso20022.org/standardsrepository/type/GenericAccountIdentification1" TargetMode="External"/><Relationship Id="rId7" Type="http://schemas.openxmlformats.org/officeDocument/2006/relationships/hyperlink" Target="https://www.iso20022.org/standardsrepository/type/CustomerCreditTransferInitiationV10" TargetMode="External"/><Relationship Id="rId12" Type="http://schemas.openxmlformats.org/officeDocument/2006/relationships/hyperlink" Target="https://www.iso20022.org/standardsrepository/type/PartyIdentification135" TargetMode="External"/><Relationship Id="rId17" Type="http://schemas.openxmlformats.org/officeDocument/2006/relationships/hyperlink" Target="https://www.iso20022.org/standardsrepository/type/PartyIdentification135" TargetMode="External"/><Relationship Id="rId25" Type="http://schemas.openxmlformats.org/officeDocument/2006/relationships/hyperlink" Target="https://www.iso20022.org/standardsrepository/type/ClearingSystemMemberIdentification2" TargetMode="External"/><Relationship Id="rId2" Type="http://schemas.openxmlformats.org/officeDocument/2006/relationships/hyperlink" Target="https://www.iso20022.org/standardsrepository/type/PaymentIdentification6" TargetMode="External"/><Relationship Id="rId16" Type="http://schemas.openxmlformats.org/officeDocument/2006/relationships/hyperlink" Target="https://www.iso20022.org/standardsrepository/type/PartyIdentification135" TargetMode="External"/><Relationship Id="rId20" Type="http://schemas.openxmlformats.org/officeDocument/2006/relationships/hyperlink" Target="https://www.iso20022.org/standardsrepository/type/RegulatoryReporting3" TargetMode="External"/><Relationship Id="rId29" Type="http://schemas.openxmlformats.org/officeDocument/2006/relationships/hyperlink" Target="https://www.iso20022.org/standardsrepository/type/EquivalentAmount2" TargetMode="External"/><Relationship Id="rId1" Type="http://schemas.openxmlformats.org/officeDocument/2006/relationships/hyperlink" Target="https://www.iso20022.org/standardsrepository/type/PaymentInstruction34" TargetMode="External"/><Relationship Id="rId6" Type="http://schemas.openxmlformats.org/officeDocument/2006/relationships/hyperlink" Target="https://www.iso20022.org/standardsrepository/type/CustomerCreditTransferInitiationV10" TargetMode="External"/><Relationship Id="rId11" Type="http://schemas.openxmlformats.org/officeDocument/2006/relationships/hyperlink" Target="https://www.iso20022.org/standardsrepository/type/PartyIdentification135" TargetMode="External"/><Relationship Id="rId24" Type="http://schemas.openxmlformats.org/officeDocument/2006/relationships/hyperlink" Target="https://www.iso20022.org/standardsrepository/type/AccountSchemeName1Choice" TargetMode="External"/><Relationship Id="rId32" Type="http://schemas.openxmlformats.org/officeDocument/2006/relationships/printerSettings" Target="../printerSettings/printerSettings2.bin"/><Relationship Id="rId5" Type="http://schemas.openxmlformats.org/officeDocument/2006/relationships/hyperlink" Target="https://www.iso20022.org/standardsrepository/type/Contact4" TargetMode="External"/><Relationship Id="rId15" Type="http://schemas.openxmlformats.org/officeDocument/2006/relationships/hyperlink" Target="https://www.iso20022.org/standardsrepository/type/PartyIdentification135" TargetMode="External"/><Relationship Id="rId23" Type="http://schemas.openxmlformats.org/officeDocument/2006/relationships/hyperlink" Target="https://www.iso20022.org/standardsrepository/type/AccountSchemeName1Choice" TargetMode="External"/><Relationship Id="rId28" Type="http://schemas.openxmlformats.org/officeDocument/2006/relationships/hyperlink" Target="https://www.iso20022.org/standardsrepository/type/EquivalentAmount2" TargetMode="External"/><Relationship Id="rId10" Type="http://schemas.openxmlformats.org/officeDocument/2006/relationships/hyperlink" Target="https://www.iso20022.org/standardsrepository/type/CustomerCreditTransferInitiationV10" TargetMode="External"/><Relationship Id="rId19" Type="http://schemas.openxmlformats.org/officeDocument/2006/relationships/hyperlink" Target="https://www.iso20022.org/standardsrepository/type/CreditTransferTransaction40" TargetMode="External"/><Relationship Id="rId31" Type="http://schemas.openxmlformats.org/officeDocument/2006/relationships/hyperlink" Target="https://www.iso20022.org/standardsrepository/type/CreditTransferTransaction40" TargetMode="External"/><Relationship Id="rId4" Type="http://schemas.openxmlformats.org/officeDocument/2006/relationships/hyperlink" Target="https://www.iso20022.org/standardsrepository/type/CategoryPurpose1Choice" TargetMode="External"/><Relationship Id="rId9" Type="http://schemas.openxmlformats.org/officeDocument/2006/relationships/hyperlink" Target="https://www.iso20022.org/standardsrepository/type/CustomerCreditTransferInitiationV10" TargetMode="External"/><Relationship Id="rId14" Type="http://schemas.openxmlformats.org/officeDocument/2006/relationships/hyperlink" Target="https://www.iso20022.org/standardsrepository/type/DateAndPlaceOfBirth1" TargetMode="External"/><Relationship Id="rId22" Type="http://schemas.openxmlformats.org/officeDocument/2006/relationships/hyperlink" Target="https://www.iso20022.org/standardsrepository/type/GenericAccountIdentification1" TargetMode="External"/><Relationship Id="rId27" Type="http://schemas.openxmlformats.org/officeDocument/2006/relationships/hyperlink" Target="https://www.iso20022.org/standardsrepository/type/PartyIdentification135" TargetMode="External"/><Relationship Id="rId30" Type="http://schemas.openxmlformats.org/officeDocument/2006/relationships/hyperlink" Target="https://www.iso20022.org/standardsrepository/type/CreditTransferTransaction4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C367C-8CD4-487C-B73C-AE728C89EA3C}">
  <sheetPr>
    <outlinePr summaryBelow="0"/>
  </sheetPr>
  <dimension ref="A1:K84"/>
  <sheetViews>
    <sheetView topLeftCell="A70" workbookViewId="0">
      <selection activeCell="H76" sqref="H76"/>
    </sheetView>
  </sheetViews>
  <sheetFormatPr defaultRowHeight="15" outlineLevelRow="4" x14ac:dyDescent="0.25"/>
  <cols>
    <col min="1" max="2" width="45.5703125" bestFit="1" customWidth="1"/>
    <col min="3" max="3" width="8.28515625" bestFit="1" customWidth="1"/>
    <col min="4" max="4" width="29.28515625" bestFit="1" customWidth="1"/>
    <col min="5" max="5" width="8.28515625" bestFit="1" customWidth="1"/>
    <col min="6" max="6" width="28.28515625" bestFit="1" customWidth="1"/>
    <col min="7" max="7" width="8.28515625" bestFit="1" customWidth="1"/>
    <col min="8" max="8" width="28.28515625" bestFit="1" customWidth="1"/>
    <col min="9" max="9" width="8.28515625" bestFit="1" customWidth="1"/>
    <col min="10" max="10" width="45.85546875" style="8" customWidth="1"/>
    <col min="11" max="11" width="45.85546875" customWidth="1"/>
  </cols>
  <sheetData>
    <row r="1" spans="1:11" x14ac:dyDescent="0.25">
      <c r="A1" s="34" t="s">
        <v>378</v>
      </c>
      <c r="B1" s="34" t="s">
        <v>416</v>
      </c>
      <c r="C1" s="34" t="s">
        <v>440</v>
      </c>
      <c r="D1" s="34" t="s">
        <v>417</v>
      </c>
      <c r="E1" s="34" t="s">
        <v>440</v>
      </c>
      <c r="F1" s="34" t="s">
        <v>418</v>
      </c>
      <c r="G1" s="34" t="s">
        <v>440</v>
      </c>
      <c r="H1" s="34" t="s">
        <v>419</v>
      </c>
      <c r="I1" s="34" t="s">
        <v>440</v>
      </c>
      <c r="J1" s="35" t="s">
        <v>379</v>
      </c>
      <c r="K1" s="36"/>
    </row>
    <row r="2" spans="1:11" ht="45" x14ac:dyDescent="0.25">
      <c r="A2" s="37" t="s">
        <v>150</v>
      </c>
      <c r="B2" s="38" t="s">
        <v>412</v>
      </c>
      <c r="C2" s="38"/>
      <c r="D2" s="38" t="s">
        <v>413</v>
      </c>
      <c r="E2" s="38"/>
      <c r="F2" s="38" t="s">
        <v>414</v>
      </c>
      <c r="G2" s="38"/>
      <c r="H2" s="38" t="s">
        <v>415</v>
      </c>
      <c r="I2" s="38"/>
      <c r="J2" s="38" t="s">
        <v>381</v>
      </c>
      <c r="K2" s="39" t="s">
        <v>382</v>
      </c>
    </row>
    <row r="3" spans="1:11" ht="75" x14ac:dyDescent="0.25">
      <c r="A3" s="24" t="s">
        <v>1</v>
      </c>
      <c r="B3" s="24" t="s">
        <v>1</v>
      </c>
      <c r="C3" s="24" t="s">
        <v>471</v>
      </c>
      <c r="D3" s="24" t="s">
        <v>360</v>
      </c>
      <c r="E3" s="24"/>
      <c r="F3" s="24"/>
      <c r="G3" s="24"/>
      <c r="H3" s="24"/>
      <c r="I3" s="24"/>
      <c r="J3" s="28" t="s">
        <v>241</v>
      </c>
    </row>
    <row r="4" spans="1:11" ht="105" x14ac:dyDescent="0.25">
      <c r="A4" s="24" t="s">
        <v>2</v>
      </c>
      <c r="B4" s="24" t="s">
        <v>2</v>
      </c>
      <c r="C4" s="24" t="s">
        <v>471</v>
      </c>
      <c r="D4" s="24"/>
      <c r="E4" s="24"/>
      <c r="J4" s="28" t="s">
        <v>242</v>
      </c>
    </row>
    <row r="5" spans="1:11" ht="75" x14ac:dyDescent="0.25">
      <c r="A5" s="24" t="s">
        <v>98</v>
      </c>
      <c r="B5" s="24"/>
      <c r="C5" s="24" t="s">
        <v>472</v>
      </c>
      <c r="D5" s="24"/>
      <c r="E5" s="24"/>
      <c r="F5" s="24" t="s">
        <v>98</v>
      </c>
      <c r="G5" s="24" t="s">
        <v>471</v>
      </c>
      <c r="H5" s="24" t="s">
        <v>361</v>
      </c>
      <c r="I5" s="24" t="s">
        <v>471</v>
      </c>
      <c r="J5" s="28" t="s">
        <v>380</v>
      </c>
    </row>
    <row r="6" spans="1:11" ht="30" x14ac:dyDescent="0.25">
      <c r="A6" s="24" t="s">
        <v>3</v>
      </c>
      <c r="B6" s="24" t="s">
        <v>3</v>
      </c>
      <c r="C6" s="24" t="s">
        <v>472</v>
      </c>
      <c r="D6" s="24"/>
      <c r="E6" s="24"/>
      <c r="F6" s="24"/>
      <c r="G6" s="24"/>
      <c r="H6" s="24"/>
      <c r="I6" s="24"/>
      <c r="J6" s="28" t="s">
        <v>243</v>
      </c>
    </row>
    <row r="7" spans="1:11" ht="30" x14ac:dyDescent="0.25">
      <c r="A7" s="24" t="s">
        <v>4</v>
      </c>
      <c r="B7" s="24" t="s">
        <v>4</v>
      </c>
      <c r="C7" s="24" t="s">
        <v>473</v>
      </c>
      <c r="D7" s="24"/>
      <c r="E7" s="24"/>
      <c r="F7" s="24"/>
      <c r="G7" s="24"/>
      <c r="H7" s="24"/>
      <c r="I7" s="24"/>
      <c r="J7" s="28" t="s">
        <v>151</v>
      </c>
    </row>
    <row r="8" spans="1:11" outlineLevel="1" x14ac:dyDescent="0.25">
      <c r="A8" s="24" t="s">
        <v>371</v>
      </c>
      <c r="B8" s="24" t="s">
        <v>371</v>
      </c>
      <c r="C8" s="24" t="s">
        <v>473</v>
      </c>
      <c r="D8" s="24"/>
      <c r="E8" s="24"/>
      <c r="F8" s="24"/>
      <c r="G8" s="24"/>
      <c r="H8" s="24"/>
      <c r="I8" s="24"/>
      <c r="J8" s="28" t="s">
        <v>156</v>
      </c>
    </row>
    <row r="9" spans="1:11" outlineLevel="2" x14ac:dyDescent="0.25">
      <c r="A9" s="24" t="s">
        <v>316</v>
      </c>
      <c r="B9" s="24" t="s">
        <v>316</v>
      </c>
      <c r="C9" s="24" t="s">
        <v>471</v>
      </c>
      <c r="D9" s="24"/>
      <c r="E9" s="24"/>
      <c r="F9" s="24"/>
      <c r="G9" s="24"/>
      <c r="H9" s="24"/>
      <c r="I9" s="24"/>
      <c r="J9" s="28" t="s">
        <v>157</v>
      </c>
    </row>
    <row r="10" spans="1:11" outlineLevel="2" x14ac:dyDescent="0.25">
      <c r="A10" s="24" t="s">
        <v>320</v>
      </c>
      <c r="B10" s="24" t="s">
        <v>320</v>
      </c>
      <c r="C10" s="24" t="s">
        <v>471</v>
      </c>
      <c r="D10" s="24"/>
      <c r="E10" s="24"/>
      <c r="F10" s="24"/>
      <c r="G10" s="24"/>
      <c r="H10" s="24"/>
      <c r="I10" s="24"/>
      <c r="J10" s="28" t="s">
        <v>158</v>
      </c>
    </row>
    <row r="11" spans="1:11" outlineLevel="2" x14ac:dyDescent="0.25">
      <c r="A11" s="24" t="s">
        <v>324</v>
      </c>
      <c r="B11" s="24" t="s">
        <v>324</v>
      </c>
      <c r="C11" s="24" t="s">
        <v>471</v>
      </c>
      <c r="D11" s="24"/>
      <c r="E11" s="24"/>
      <c r="F11" s="24"/>
      <c r="G11" s="24"/>
      <c r="H11" s="24"/>
      <c r="I11" s="24"/>
      <c r="J11" s="28" t="s">
        <v>159</v>
      </c>
    </row>
    <row r="12" spans="1:11" outlineLevel="2" x14ac:dyDescent="0.25">
      <c r="A12" s="24" t="s">
        <v>326</v>
      </c>
      <c r="B12" s="24" t="s">
        <v>326</v>
      </c>
      <c r="C12" s="24" t="s">
        <v>471</v>
      </c>
      <c r="D12" s="24"/>
      <c r="E12" s="24"/>
      <c r="F12" s="24" t="s">
        <v>100</v>
      </c>
      <c r="G12" s="24" t="s">
        <v>471</v>
      </c>
      <c r="H12" s="24"/>
      <c r="I12" s="24"/>
      <c r="J12" s="28" t="s">
        <v>160</v>
      </c>
      <c r="K12" t="s">
        <v>383</v>
      </c>
    </row>
    <row r="13" spans="1:11" ht="30" outlineLevel="2" x14ac:dyDescent="0.25">
      <c r="A13" s="24" t="s">
        <v>367</v>
      </c>
      <c r="B13" s="24" t="s">
        <v>367</v>
      </c>
      <c r="C13" s="24" t="s">
        <v>473</v>
      </c>
      <c r="D13" s="24"/>
      <c r="E13" s="24"/>
      <c r="F13" s="24"/>
      <c r="G13" s="24"/>
      <c r="H13" s="24"/>
      <c r="I13" s="24"/>
      <c r="J13" s="28" t="s">
        <v>362</v>
      </c>
    </row>
    <row r="14" spans="1:11" ht="30" outlineLevel="3" x14ac:dyDescent="0.25">
      <c r="A14" s="24" t="s">
        <v>368</v>
      </c>
      <c r="B14" s="24" t="s">
        <v>368</v>
      </c>
      <c r="C14" s="24" t="s">
        <v>473</v>
      </c>
      <c r="D14" s="24"/>
      <c r="E14" s="24"/>
      <c r="F14" s="24"/>
      <c r="G14" s="24"/>
      <c r="H14" s="24"/>
      <c r="I14" s="24"/>
      <c r="J14" s="28" t="s">
        <v>250</v>
      </c>
    </row>
    <row r="15" spans="1:11" outlineLevel="4" x14ac:dyDescent="0.25">
      <c r="A15" s="24" t="s">
        <v>328</v>
      </c>
      <c r="B15" s="24" t="s">
        <v>328</v>
      </c>
      <c r="C15" s="24" t="s">
        <v>472</v>
      </c>
      <c r="D15" s="24"/>
      <c r="E15" s="24"/>
      <c r="F15" s="24"/>
      <c r="G15" s="24"/>
      <c r="H15" s="24"/>
      <c r="I15" s="24"/>
      <c r="J15" s="28" t="s">
        <v>252</v>
      </c>
    </row>
    <row r="16" spans="1:11" outlineLevel="4" x14ac:dyDescent="0.25">
      <c r="A16" s="24" t="s">
        <v>330</v>
      </c>
      <c r="B16" s="24" t="s">
        <v>330</v>
      </c>
      <c r="C16" s="24" t="s">
        <v>472</v>
      </c>
      <c r="D16" s="24"/>
      <c r="E16" s="24"/>
      <c r="F16" s="24"/>
      <c r="G16" s="24"/>
      <c r="H16" s="24"/>
      <c r="I16" s="24"/>
      <c r="J16" s="28" t="s">
        <v>251</v>
      </c>
    </row>
    <row r="17" spans="1:11" ht="60" outlineLevel="1" x14ac:dyDescent="0.25">
      <c r="A17" s="24" t="s">
        <v>331</v>
      </c>
      <c r="B17" s="24" t="s">
        <v>331</v>
      </c>
      <c r="C17" s="24" t="s">
        <v>471</v>
      </c>
      <c r="D17" s="24"/>
      <c r="E17" s="24"/>
      <c r="F17" s="24"/>
      <c r="G17" s="24"/>
      <c r="H17" s="24"/>
      <c r="I17" s="24"/>
      <c r="J17" s="28" t="s">
        <v>161</v>
      </c>
    </row>
    <row r="18" spans="1:11" ht="30" outlineLevel="1" x14ac:dyDescent="0.25">
      <c r="A18" s="24" t="s">
        <v>333</v>
      </c>
      <c r="B18" s="24" t="s">
        <v>333</v>
      </c>
      <c r="C18" s="24" t="s">
        <v>471</v>
      </c>
      <c r="D18" s="24"/>
      <c r="E18" s="24"/>
      <c r="F18" s="24"/>
      <c r="G18" s="24"/>
      <c r="H18" s="24"/>
      <c r="I18" s="24"/>
      <c r="J18" s="28" t="s">
        <v>203</v>
      </c>
    </row>
    <row r="19" spans="1:11" ht="45" outlineLevel="1" x14ac:dyDescent="0.25">
      <c r="A19" s="24" t="s">
        <v>373</v>
      </c>
      <c r="B19" s="24" t="s">
        <v>373</v>
      </c>
      <c r="C19" s="24" t="s">
        <v>473</v>
      </c>
      <c r="D19" s="24"/>
      <c r="E19" s="24"/>
      <c r="F19" s="24"/>
      <c r="G19" s="24"/>
      <c r="H19" s="24"/>
      <c r="I19" s="24"/>
      <c r="J19" s="28" t="s">
        <v>204</v>
      </c>
    </row>
    <row r="20" spans="1:11" outlineLevel="2" x14ac:dyDescent="0.25">
      <c r="A20" s="24" t="s">
        <v>374</v>
      </c>
      <c r="B20" s="24" t="s">
        <v>374</v>
      </c>
      <c r="C20" s="24" t="s">
        <v>473</v>
      </c>
      <c r="D20" s="24"/>
      <c r="E20" s="24"/>
      <c r="F20" s="24"/>
      <c r="G20" s="24"/>
      <c r="H20" s="24"/>
      <c r="I20" s="24"/>
      <c r="J20" s="28" t="s">
        <v>205</v>
      </c>
    </row>
    <row r="21" spans="1:11" outlineLevel="3" x14ac:dyDescent="0.25">
      <c r="A21" s="24" t="s">
        <v>335</v>
      </c>
      <c r="B21" s="24" t="s">
        <v>335</v>
      </c>
      <c r="C21" s="24" t="s">
        <v>471</v>
      </c>
      <c r="D21" s="24"/>
      <c r="E21" s="24"/>
      <c r="F21" s="24"/>
      <c r="G21" s="24"/>
      <c r="H21" s="24"/>
      <c r="I21" s="24"/>
      <c r="J21" s="28" t="s">
        <v>206</v>
      </c>
    </row>
    <row r="22" spans="1:11" outlineLevel="3" x14ac:dyDescent="0.25">
      <c r="A22" s="24" t="s">
        <v>336</v>
      </c>
      <c r="B22" s="24" t="s">
        <v>336</v>
      </c>
      <c r="C22" s="24" t="s">
        <v>471</v>
      </c>
      <c r="D22" s="24"/>
      <c r="E22" s="24"/>
      <c r="F22" s="24"/>
      <c r="G22" s="24"/>
      <c r="H22" s="24"/>
      <c r="I22" s="24"/>
      <c r="J22" s="28" t="s">
        <v>207</v>
      </c>
    </row>
    <row r="23" spans="1:11" outlineLevel="3" x14ac:dyDescent="0.25">
      <c r="A23" s="24" t="s">
        <v>337</v>
      </c>
      <c r="B23" s="24" t="s">
        <v>337</v>
      </c>
      <c r="C23" s="24" t="s">
        <v>471</v>
      </c>
      <c r="D23" s="24"/>
      <c r="E23" s="24"/>
      <c r="F23" s="24"/>
      <c r="G23" s="24"/>
      <c r="H23" s="24"/>
      <c r="I23" s="24"/>
      <c r="J23" s="28" t="s">
        <v>208</v>
      </c>
    </row>
    <row r="24" spans="1:11" outlineLevel="2" x14ac:dyDescent="0.25">
      <c r="A24" s="24" t="s">
        <v>338</v>
      </c>
      <c r="B24" s="24" t="s">
        <v>338</v>
      </c>
      <c r="C24" s="24" t="s">
        <v>471</v>
      </c>
      <c r="D24" s="24"/>
      <c r="E24" s="24"/>
      <c r="F24" s="24"/>
      <c r="G24" s="24"/>
      <c r="H24" s="24"/>
      <c r="I24" s="24"/>
      <c r="J24" s="28" t="s">
        <v>209</v>
      </c>
    </row>
    <row r="25" spans="1:11" ht="30" x14ac:dyDescent="0.25">
      <c r="A25" s="24" t="s">
        <v>5</v>
      </c>
      <c r="B25" s="24" t="s">
        <v>5</v>
      </c>
      <c r="C25" s="24" t="s">
        <v>473</v>
      </c>
      <c r="D25" s="24"/>
      <c r="E25" s="24"/>
      <c r="F25" s="24"/>
      <c r="G25" s="24"/>
      <c r="H25" s="24"/>
      <c r="I25" s="24"/>
      <c r="J25" s="28" t="s">
        <v>152</v>
      </c>
    </row>
    <row r="26" spans="1:11" outlineLevel="1" x14ac:dyDescent="0.25">
      <c r="A26" s="24" t="s">
        <v>372</v>
      </c>
      <c r="B26" s="24" t="s">
        <v>372</v>
      </c>
      <c r="C26" s="24" t="s">
        <v>473</v>
      </c>
      <c r="D26" s="24"/>
      <c r="E26" s="24"/>
      <c r="F26" s="24"/>
      <c r="G26" s="24"/>
      <c r="H26" s="24"/>
      <c r="I26" s="24"/>
      <c r="J26" s="28" t="s">
        <v>156</v>
      </c>
    </row>
    <row r="27" spans="1:11" outlineLevel="2" x14ac:dyDescent="0.25">
      <c r="A27" s="24" t="s">
        <v>339</v>
      </c>
      <c r="B27" s="24" t="s">
        <v>339</v>
      </c>
      <c r="C27" s="24" t="s">
        <v>471</v>
      </c>
      <c r="D27" s="24"/>
      <c r="E27" s="24"/>
      <c r="F27" s="24"/>
      <c r="G27" s="24"/>
      <c r="H27" s="24"/>
      <c r="I27" s="24"/>
      <c r="J27" s="28" t="s">
        <v>157</v>
      </c>
    </row>
    <row r="28" spans="1:11" outlineLevel="2" x14ac:dyDescent="0.25">
      <c r="A28" s="24" t="s">
        <v>340</v>
      </c>
      <c r="B28" s="24" t="s">
        <v>340</v>
      </c>
      <c r="C28" s="24" t="s">
        <v>471</v>
      </c>
      <c r="D28" s="24"/>
      <c r="E28" s="24"/>
      <c r="F28" s="24"/>
      <c r="G28" s="24"/>
      <c r="H28" s="24"/>
      <c r="I28" s="24"/>
      <c r="J28" s="28" t="s">
        <v>158</v>
      </c>
    </row>
    <row r="29" spans="1:11" outlineLevel="2" x14ac:dyDescent="0.25">
      <c r="A29" s="24" t="s">
        <v>341</v>
      </c>
      <c r="B29" s="24" t="s">
        <v>341</v>
      </c>
      <c r="C29" s="24" t="s">
        <v>471</v>
      </c>
      <c r="D29" s="24"/>
      <c r="E29" s="24"/>
      <c r="F29" s="24"/>
      <c r="G29" s="24"/>
      <c r="H29" s="24"/>
      <c r="I29" s="24"/>
      <c r="J29" s="28" t="s">
        <v>159</v>
      </c>
    </row>
    <row r="30" spans="1:11" outlineLevel="2" x14ac:dyDescent="0.25">
      <c r="A30" s="24" t="s">
        <v>342</v>
      </c>
      <c r="B30" s="24" t="s">
        <v>342</v>
      </c>
      <c r="C30" s="24" t="s">
        <v>471</v>
      </c>
      <c r="D30" s="24"/>
      <c r="E30" s="24"/>
      <c r="F30" s="24" t="s">
        <v>102</v>
      </c>
      <c r="G30" s="24" t="s">
        <v>471</v>
      </c>
      <c r="H30" s="24"/>
      <c r="I30" s="24"/>
      <c r="J30" s="28" t="s">
        <v>160</v>
      </c>
      <c r="K30" t="s">
        <v>384</v>
      </c>
    </row>
    <row r="31" spans="1:11" ht="30" outlineLevel="2" x14ac:dyDescent="0.25">
      <c r="A31" s="24" t="s">
        <v>369</v>
      </c>
      <c r="B31" s="24" t="s">
        <v>369</v>
      </c>
      <c r="C31" s="24" t="s">
        <v>473</v>
      </c>
      <c r="D31" s="24"/>
      <c r="E31" s="24"/>
      <c r="F31" s="24"/>
      <c r="G31" s="24"/>
      <c r="H31" s="24"/>
      <c r="I31" s="24"/>
      <c r="J31" s="28" t="s">
        <v>363</v>
      </c>
    </row>
    <row r="32" spans="1:11" ht="30" outlineLevel="3" x14ac:dyDescent="0.25">
      <c r="A32" s="24" t="s">
        <v>370</v>
      </c>
      <c r="B32" s="24" t="s">
        <v>370</v>
      </c>
      <c r="C32" s="24" t="s">
        <v>473</v>
      </c>
      <c r="D32" s="24"/>
      <c r="E32" s="24"/>
      <c r="F32" s="24"/>
      <c r="G32" s="24"/>
      <c r="H32" s="24"/>
      <c r="I32" s="24"/>
      <c r="J32" s="28" t="s">
        <v>250</v>
      </c>
    </row>
    <row r="33" spans="1:10" outlineLevel="4" x14ac:dyDescent="0.25">
      <c r="A33" s="24" t="s">
        <v>343</v>
      </c>
      <c r="B33" s="24" t="s">
        <v>343</v>
      </c>
      <c r="C33" s="24" t="s">
        <v>472</v>
      </c>
      <c r="D33" s="24"/>
      <c r="E33" s="24"/>
      <c r="F33" s="24"/>
      <c r="G33" s="24"/>
      <c r="H33" s="24"/>
      <c r="I33" s="24"/>
      <c r="J33" s="28" t="s">
        <v>252</v>
      </c>
    </row>
    <row r="34" spans="1:10" outlineLevel="4" x14ac:dyDescent="0.25">
      <c r="A34" s="24" t="s">
        <v>344</v>
      </c>
      <c r="B34" s="24" t="s">
        <v>344</v>
      </c>
      <c r="C34" s="24" t="s">
        <v>472</v>
      </c>
      <c r="D34" s="24"/>
      <c r="E34" s="24"/>
      <c r="F34" s="24"/>
      <c r="G34" s="24"/>
      <c r="H34" s="24"/>
      <c r="I34" s="24"/>
      <c r="J34" s="28" t="s">
        <v>251</v>
      </c>
    </row>
    <row r="35" spans="1:10" ht="60" outlineLevel="1" x14ac:dyDescent="0.25">
      <c r="A35" s="24" t="s">
        <v>345</v>
      </c>
      <c r="B35" s="24" t="s">
        <v>345</v>
      </c>
      <c r="C35" s="24" t="s">
        <v>471</v>
      </c>
      <c r="D35" s="24"/>
      <c r="E35" s="24"/>
      <c r="F35" s="24"/>
      <c r="G35" s="24"/>
      <c r="H35" s="24"/>
      <c r="I35" s="24"/>
      <c r="J35" s="28" t="s">
        <v>161</v>
      </c>
    </row>
    <row r="36" spans="1:10" ht="30" outlineLevel="1" x14ac:dyDescent="0.25">
      <c r="A36" s="24" t="s">
        <v>346</v>
      </c>
      <c r="B36" s="24" t="s">
        <v>346</v>
      </c>
      <c r="C36" s="24" t="s">
        <v>471</v>
      </c>
      <c r="D36" s="24"/>
      <c r="E36" s="24"/>
      <c r="F36" s="24"/>
      <c r="G36" s="24"/>
      <c r="H36" s="24"/>
      <c r="I36" s="24"/>
      <c r="J36" s="28" t="s">
        <v>203</v>
      </c>
    </row>
    <row r="37" spans="1:10" ht="45" outlineLevel="1" x14ac:dyDescent="0.25">
      <c r="A37" s="24" t="s">
        <v>375</v>
      </c>
      <c r="B37" s="24" t="s">
        <v>375</v>
      </c>
      <c r="C37" s="24" t="s">
        <v>473</v>
      </c>
      <c r="D37" s="24"/>
      <c r="E37" s="24"/>
      <c r="F37" s="24"/>
      <c r="G37" s="24"/>
      <c r="H37" s="24"/>
      <c r="I37" s="24"/>
      <c r="J37" s="28" t="s">
        <v>204</v>
      </c>
    </row>
    <row r="38" spans="1:10" outlineLevel="2" x14ac:dyDescent="0.25">
      <c r="A38" s="24" t="s">
        <v>376</v>
      </c>
      <c r="B38" s="24" t="s">
        <v>376</v>
      </c>
      <c r="C38" s="24" t="s">
        <v>473</v>
      </c>
      <c r="D38" s="24"/>
      <c r="E38" s="24"/>
      <c r="F38" s="24"/>
      <c r="G38" s="24"/>
      <c r="H38" s="24"/>
      <c r="I38" s="24"/>
      <c r="J38" s="28" t="s">
        <v>205</v>
      </c>
    </row>
    <row r="39" spans="1:10" outlineLevel="3" x14ac:dyDescent="0.25">
      <c r="A39" s="24" t="s">
        <v>347</v>
      </c>
      <c r="B39" s="24" t="s">
        <v>347</v>
      </c>
      <c r="C39" s="24" t="s">
        <v>471</v>
      </c>
      <c r="D39" s="24"/>
      <c r="E39" s="24"/>
      <c r="F39" s="24"/>
      <c r="G39" s="24"/>
      <c r="H39" s="24"/>
      <c r="I39" s="24"/>
      <c r="J39" s="28" t="s">
        <v>206</v>
      </c>
    </row>
    <row r="40" spans="1:10" outlineLevel="3" x14ac:dyDescent="0.25">
      <c r="A40" s="24" t="s">
        <v>348</v>
      </c>
      <c r="B40" s="24" t="s">
        <v>348</v>
      </c>
      <c r="C40" s="24" t="s">
        <v>471</v>
      </c>
      <c r="D40" s="24"/>
      <c r="E40" s="24"/>
      <c r="F40" s="24"/>
      <c r="G40" s="24"/>
      <c r="H40" s="24"/>
      <c r="I40" s="24"/>
      <c r="J40" s="28" t="s">
        <v>207</v>
      </c>
    </row>
    <row r="41" spans="1:10" outlineLevel="3" x14ac:dyDescent="0.25">
      <c r="A41" s="24" t="s">
        <v>349</v>
      </c>
      <c r="B41" s="24" t="s">
        <v>349</v>
      </c>
      <c r="C41" s="24" t="s">
        <v>471</v>
      </c>
      <c r="D41" s="24"/>
      <c r="E41" s="24"/>
      <c r="F41" s="24"/>
      <c r="G41" s="24"/>
      <c r="H41" s="24"/>
      <c r="I41" s="24"/>
      <c r="J41" s="28" t="s">
        <v>208</v>
      </c>
    </row>
    <row r="42" spans="1:10" outlineLevel="2" x14ac:dyDescent="0.25">
      <c r="A42" s="24" t="s">
        <v>350</v>
      </c>
      <c r="B42" s="24" t="s">
        <v>350</v>
      </c>
      <c r="C42" s="24" t="s">
        <v>471</v>
      </c>
      <c r="D42" s="24"/>
      <c r="E42" s="24"/>
      <c r="F42" s="24"/>
      <c r="G42" s="24"/>
      <c r="H42" s="24"/>
      <c r="I42" s="24"/>
      <c r="J42" s="28" t="s">
        <v>209</v>
      </c>
    </row>
    <row r="43" spans="1:10" ht="105" x14ac:dyDescent="0.25">
      <c r="A43" s="24" t="s">
        <v>6</v>
      </c>
      <c r="B43" s="24" t="s">
        <v>6</v>
      </c>
      <c r="C43" s="24" t="s">
        <v>472</v>
      </c>
      <c r="D43" s="24"/>
      <c r="E43" s="24"/>
      <c r="F43" s="24"/>
      <c r="G43" s="24"/>
      <c r="H43" s="24"/>
      <c r="I43" s="24"/>
      <c r="J43" s="28" t="s">
        <v>210</v>
      </c>
    </row>
    <row r="44" spans="1:10" ht="150" x14ac:dyDescent="0.25">
      <c r="A44" s="24" t="s">
        <v>26</v>
      </c>
      <c r="B44" s="24" t="s">
        <v>26</v>
      </c>
      <c r="C44" s="24" t="s">
        <v>471</v>
      </c>
      <c r="D44" s="24"/>
      <c r="E44" s="24"/>
      <c r="F44" s="24" t="s">
        <v>26</v>
      </c>
      <c r="G44" s="24" t="s">
        <v>473</v>
      </c>
      <c r="H44" s="24"/>
      <c r="I44" s="24"/>
      <c r="J44" s="28" t="s">
        <v>211</v>
      </c>
    </row>
    <row r="45" spans="1:10" outlineLevel="1" x14ac:dyDescent="0.25">
      <c r="A45" s="24" t="s">
        <v>318</v>
      </c>
      <c r="B45" s="24" t="s">
        <v>318</v>
      </c>
      <c r="C45" s="24" t="s">
        <v>471</v>
      </c>
      <c r="D45" s="24"/>
      <c r="E45" s="24"/>
      <c r="F45" s="24" t="s">
        <v>318</v>
      </c>
      <c r="G45" s="24" t="s">
        <v>471</v>
      </c>
      <c r="H45" s="24"/>
      <c r="I45" s="24"/>
      <c r="J45" s="28" t="s">
        <v>215</v>
      </c>
    </row>
    <row r="46" spans="1:10" outlineLevel="1" x14ac:dyDescent="0.25">
      <c r="A46" s="24" t="s">
        <v>322</v>
      </c>
      <c r="B46" s="24" t="s">
        <v>322</v>
      </c>
      <c r="C46" s="24" t="s">
        <v>471</v>
      </c>
      <c r="D46" s="24"/>
      <c r="E46" s="24"/>
      <c r="F46" s="24" t="s">
        <v>322</v>
      </c>
      <c r="G46" s="24" t="s">
        <v>471</v>
      </c>
      <c r="H46" s="24"/>
      <c r="I46" s="24"/>
      <c r="J46" s="28" t="s">
        <v>214</v>
      </c>
    </row>
    <row r="47" spans="1:10" x14ac:dyDescent="0.25">
      <c r="A47" s="24" t="s">
        <v>7</v>
      </c>
      <c r="B47" s="24" t="s">
        <v>7</v>
      </c>
      <c r="C47" s="24" t="s">
        <v>473</v>
      </c>
      <c r="D47" s="24"/>
      <c r="E47" s="24"/>
      <c r="F47" s="24"/>
      <c r="G47" s="24"/>
      <c r="H47" s="24"/>
      <c r="I47" s="24"/>
      <c r="J47" s="28" t="s">
        <v>212</v>
      </c>
    </row>
    <row r="48" spans="1:10" outlineLevel="1" x14ac:dyDescent="0.25">
      <c r="A48" s="24" t="s">
        <v>351</v>
      </c>
      <c r="B48" s="24" t="s">
        <v>351</v>
      </c>
      <c r="C48" s="24" t="s">
        <v>471</v>
      </c>
      <c r="D48" s="24"/>
      <c r="E48" s="24"/>
      <c r="F48" s="24"/>
      <c r="G48" s="24"/>
      <c r="H48" s="24"/>
      <c r="I48" s="24"/>
      <c r="J48" s="28" t="s">
        <v>213</v>
      </c>
    </row>
    <row r="49" spans="1:10" outlineLevel="1" x14ac:dyDescent="0.25">
      <c r="A49" s="24" t="s">
        <v>352</v>
      </c>
      <c r="B49" s="24" t="s">
        <v>352</v>
      </c>
      <c r="C49" s="24" t="s">
        <v>471</v>
      </c>
      <c r="D49" s="24"/>
      <c r="E49" s="24"/>
      <c r="F49" s="24"/>
      <c r="G49" s="24"/>
      <c r="H49" s="24"/>
      <c r="I49" s="24"/>
      <c r="J49" s="28" t="s">
        <v>216</v>
      </c>
    </row>
    <row r="50" spans="1:10" ht="30" x14ac:dyDescent="0.25">
      <c r="A50" s="24" t="s">
        <v>385</v>
      </c>
      <c r="B50" s="24"/>
      <c r="C50" s="24"/>
      <c r="D50" s="24" t="s">
        <v>385</v>
      </c>
      <c r="E50" s="24" t="s">
        <v>473</v>
      </c>
      <c r="F50" s="24"/>
      <c r="G50" s="24"/>
      <c r="H50" s="24"/>
      <c r="I50" s="24"/>
      <c r="J50" s="28" t="s">
        <v>389</v>
      </c>
    </row>
    <row r="51" spans="1:10" outlineLevel="1" x14ac:dyDescent="0.25">
      <c r="A51" s="24" t="s">
        <v>82</v>
      </c>
      <c r="B51" s="24"/>
      <c r="C51" s="24"/>
      <c r="D51" s="24" t="s">
        <v>82</v>
      </c>
      <c r="E51" s="24" t="s">
        <v>471</v>
      </c>
      <c r="F51" s="24"/>
      <c r="G51" s="24"/>
      <c r="H51" s="24"/>
      <c r="I51" s="24"/>
      <c r="J51" s="28" t="s">
        <v>393</v>
      </c>
    </row>
    <row r="52" spans="1:10" outlineLevel="1" x14ac:dyDescent="0.25">
      <c r="A52" s="24" t="s">
        <v>314</v>
      </c>
      <c r="B52" s="24"/>
      <c r="C52" s="24"/>
      <c r="D52" s="24" t="s">
        <v>314</v>
      </c>
      <c r="E52" s="24" t="s">
        <v>471</v>
      </c>
      <c r="F52" s="24"/>
      <c r="G52" s="24"/>
      <c r="H52" s="24"/>
      <c r="I52" s="24"/>
      <c r="J52" s="28" t="s">
        <v>394</v>
      </c>
    </row>
    <row r="53" spans="1:10" ht="60" x14ac:dyDescent="0.25">
      <c r="A53" s="24" t="s">
        <v>386</v>
      </c>
      <c r="B53" s="24"/>
      <c r="C53" s="24"/>
      <c r="D53" s="24" t="s">
        <v>386</v>
      </c>
      <c r="E53" s="24" t="s">
        <v>473</v>
      </c>
      <c r="F53" s="24"/>
      <c r="G53" s="24"/>
      <c r="H53" s="24"/>
      <c r="I53" s="24"/>
      <c r="J53" s="28" t="s">
        <v>390</v>
      </c>
    </row>
    <row r="54" spans="1:10" outlineLevel="1" x14ac:dyDescent="0.25">
      <c r="A54" s="24" t="s">
        <v>315</v>
      </c>
      <c r="B54" s="24"/>
      <c r="C54" s="24"/>
      <c r="D54" s="24" t="s">
        <v>315</v>
      </c>
      <c r="E54" s="24" t="s">
        <v>471</v>
      </c>
      <c r="F54" s="24"/>
      <c r="G54" s="24"/>
      <c r="H54" s="24"/>
      <c r="I54" s="24"/>
      <c r="J54" s="28" t="s">
        <v>395</v>
      </c>
    </row>
    <row r="55" spans="1:10" outlineLevel="1" x14ac:dyDescent="0.25">
      <c r="A55" s="24" t="s">
        <v>317</v>
      </c>
      <c r="B55" s="24"/>
      <c r="C55" s="24"/>
      <c r="D55" s="24" t="s">
        <v>317</v>
      </c>
      <c r="E55" s="24" t="s">
        <v>471</v>
      </c>
      <c r="F55" s="24"/>
      <c r="G55" s="24"/>
      <c r="H55" s="24"/>
      <c r="I55" s="24"/>
      <c r="J55" s="28" t="s">
        <v>396</v>
      </c>
    </row>
    <row r="56" spans="1:10" x14ac:dyDescent="0.25">
      <c r="A56" s="24" t="s">
        <v>387</v>
      </c>
      <c r="B56" s="24"/>
      <c r="C56" s="24"/>
      <c r="D56" s="24" t="s">
        <v>387</v>
      </c>
      <c r="E56" s="24" t="s">
        <v>473</v>
      </c>
      <c r="F56" s="24"/>
      <c r="G56" s="24"/>
      <c r="H56" s="24"/>
      <c r="I56" s="24"/>
      <c r="J56" s="28" t="s">
        <v>391</v>
      </c>
    </row>
    <row r="57" spans="1:10" outlineLevel="1" x14ac:dyDescent="0.25">
      <c r="A57" s="24" t="s">
        <v>321</v>
      </c>
      <c r="B57" s="24"/>
      <c r="C57" s="24"/>
      <c r="D57" s="24" t="s">
        <v>321</v>
      </c>
      <c r="E57" s="24" t="s">
        <v>471</v>
      </c>
      <c r="F57" s="24"/>
      <c r="G57" s="24"/>
      <c r="H57" s="24"/>
      <c r="I57" s="24"/>
      <c r="J57" s="28" t="s">
        <v>213</v>
      </c>
    </row>
    <row r="58" spans="1:10" outlineLevel="1" x14ac:dyDescent="0.25">
      <c r="A58" s="24" t="s">
        <v>325</v>
      </c>
      <c r="B58" s="24"/>
      <c r="C58" s="24"/>
      <c r="D58" s="24" t="s">
        <v>325</v>
      </c>
      <c r="E58" s="24" t="s">
        <v>471</v>
      </c>
      <c r="F58" s="24"/>
      <c r="G58" s="24"/>
      <c r="H58" s="24"/>
      <c r="I58" s="24"/>
      <c r="J58" s="28" t="s">
        <v>216</v>
      </c>
    </row>
    <row r="59" spans="1:10" x14ac:dyDescent="0.25">
      <c r="A59" s="24" t="s">
        <v>388</v>
      </c>
      <c r="B59" s="24"/>
      <c r="C59" s="24"/>
      <c r="D59" s="24" t="s">
        <v>388</v>
      </c>
      <c r="E59" s="24" t="s">
        <v>473</v>
      </c>
      <c r="F59" s="24"/>
      <c r="G59" s="24"/>
      <c r="H59" s="24"/>
      <c r="I59" s="24"/>
      <c r="J59" s="28" t="s">
        <v>392</v>
      </c>
    </row>
    <row r="60" spans="1:10" ht="30" outlineLevel="1" x14ac:dyDescent="0.25">
      <c r="A60" s="24" t="s">
        <v>327</v>
      </c>
      <c r="B60" s="24"/>
      <c r="C60" s="24"/>
      <c r="D60" s="24" t="s">
        <v>327</v>
      </c>
      <c r="E60" s="24" t="s">
        <v>471</v>
      </c>
      <c r="F60" s="24"/>
      <c r="G60" s="24"/>
      <c r="H60" s="24"/>
      <c r="I60" s="24"/>
      <c r="J60" s="28" t="s">
        <v>397</v>
      </c>
    </row>
    <row r="61" spans="1:10" outlineLevel="1" x14ac:dyDescent="0.25">
      <c r="A61" s="24" t="s">
        <v>329</v>
      </c>
      <c r="B61" s="24"/>
      <c r="C61" s="24"/>
      <c r="D61" s="24" t="s">
        <v>329</v>
      </c>
      <c r="E61" s="24" t="s">
        <v>471</v>
      </c>
      <c r="F61" s="24"/>
      <c r="G61" s="24"/>
      <c r="H61" s="24"/>
      <c r="I61" s="24"/>
      <c r="J61" s="28" t="s">
        <v>398</v>
      </c>
    </row>
    <row r="62" spans="1:10" ht="30" x14ac:dyDescent="0.25">
      <c r="A62" s="24" t="s">
        <v>8</v>
      </c>
      <c r="B62" s="24" t="s">
        <v>8</v>
      </c>
      <c r="C62" s="24" t="s">
        <v>473</v>
      </c>
      <c r="D62" s="24"/>
      <c r="E62" s="24"/>
      <c r="F62" s="24"/>
      <c r="G62" s="24"/>
      <c r="H62" s="24"/>
      <c r="I62" s="24"/>
      <c r="J62" s="28" t="s">
        <v>217</v>
      </c>
    </row>
    <row r="63" spans="1:10" ht="30" outlineLevel="1" x14ac:dyDescent="0.25">
      <c r="A63" s="24" t="s">
        <v>353</v>
      </c>
      <c r="B63" s="24" t="s">
        <v>353</v>
      </c>
      <c r="C63" s="24" t="s">
        <v>471</v>
      </c>
      <c r="D63" s="24"/>
      <c r="E63" s="24"/>
      <c r="F63" s="24"/>
      <c r="G63" s="24"/>
      <c r="H63" s="24"/>
      <c r="I63" s="24"/>
      <c r="J63" s="28" t="s">
        <v>239</v>
      </c>
    </row>
    <row r="64" spans="1:10" ht="30" outlineLevel="1" x14ac:dyDescent="0.25">
      <c r="A64" s="24" t="s">
        <v>354</v>
      </c>
      <c r="B64" s="24" t="s">
        <v>354</v>
      </c>
      <c r="C64" s="24" t="s">
        <v>471</v>
      </c>
      <c r="D64" s="24"/>
      <c r="E64" s="24"/>
      <c r="F64" s="24"/>
      <c r="G64" s="24"/>
      <c r="H64" s="24"/>
      <c r="I64" s="24"/>
      <c r="J64" s="28" t="s">
        <v>218</v>
      </c>
    </row>
    <row r="65" spans="1:10" outlineLevel="1" x14ac:dyDescent="0.25">
      <c r="A65" s="24" t="s">
        <v>355</v>
      </c>
      <c r="B65" s="24" t="s">
        <v>355</v>
      </c>
      <c r="C65" s="24" t="s">
        <v>472</v>
      </c>
      <c r="D65" s="24"/>
      <c r="E65" s="24"/>
      <c r="F65" s="24"/>
      <c r="G65" s="24"/>
      <c r="H65" s="24"/>
      <c r="I65" s="24"/>
      <c r="J65" s="28" t="s">
        <v>219</v>
      </c>
    </row>
    <row r="66" spans="1:10" ht="30" outlineLevel="1" x14ac:dyDescent="0.25">
      <c r="A66" s="24" t="s">
        <v>356</v>
      </c>
      <c r="B66" s="24" t="s">
        <v>356</v>
      </c>
      <c r="C66" s="24" t="s">
        <v>471</v>
      </c>
      <c r="D66" s="24"/>
      <c r="E66" s="24"/>
      <c r="F66" s="24"/>
      <c r="G66" s="24"/>
      <c r="H66" s="24"/>
      <c r="I66" s="24"/>
      <c r="J66" s="28" t="s">
        <v>240</v>
      </c>
    </row>
    <row r="67" spans="1:10" ht="30" outlineLevel="1" x14ac:dyDescent="0.25">
      <c r="A67" s="24" t="s">
        <v>377</v>
      </c>
      <c r="B67" s="24" t="s">
        <v>377</v>
      </c>
      <c r="C67" s="24" t="s">
        <v>473</v>
      </c>
      <c r="D67" s="24"/>
      <c r="E67" s="24"/>
      <c r="F67" s="24"/>
      <c r="G67" s="24"/>
      <c r="H67" s="24"/>
      <c r="I67" s="24"/>
      <c r="J67" s="28" t="s">
        <v>220</v>
      </c>
    </row>
    <row r="68" spans="1:10" ht="30" outlineLevel="2" x14ac:dyDescent="0.25">
      <c r="A68" s="24" t="s">
        <v>357</v>
      </c>
      <c r="B68" s="24" t="s">
        <v>357</v>
      </c>
      <c r="C68" s="24" t="s">
        <v>472</v>
      </c>
      <c r="D68" s="24"/>
      <c r="E68" s="24"/>
      <c r="F68" s="24"/>
      <c r="G68" s="24"/>
      <c r="H68" s="24"/>
      <c r="I68" s="24"/>
      <c r="J68" s="28" t="s">
        <v>255</v>
      </c>
    </row>
    <row r="69" spans="1:10" outlineLevel="2" x14ac:dyDescent="0.25">
      <c r="A69" s="24" t="s">
        <v>358</v>
      </c>
      <c r="B69" s="24" t="s">
        <v>358</v>
      </c>
      <c r="C69" s="24" t="s">
        <v>472</v>
      </c>
      <c r="D69" s="24"/>
      <c r="E69" s="24"/>
      <c r="F69" s="24"/>
      <c r="G69" s="24"/>
      <c r="H69" s="24"/>
      <c r="I69" s="24"/>
      <c r="J69" s="28" t="s">
        <v>256</v>
      </c>
    </row>
    <row r="70" spans="1:10" outlineLevel="1" x14ac:dyDescent="0.25">
      <c r="A70" s="24" t="s">
        <v>359</v>
      </c>
      <c r="B70" s="24" t="s">
        <v>359</v>
      </c>
      <c r="C70" s="24" t="s">
        <v>471</v>
      </c>
      <c r="D70" s="24"/>
      <c r="E70" s="24"/>
      <c r="F70" s="24"/>
      <c r="G70" s="24"/>
      <c r="H70" s="24"/>
      <c r="I70" s="24"/>
      <c r="J70" s="28" t="s">
        <v>221</v>
      </c>
    </row>
    <row r="71" spans="1:10" ht="30" x14ac:dyDescent="0.25">
      <c r="A71" s="24" t="s">
        <v>9</v>
      </c>
      <c r="B71" s="24" t="s">
        <v>9</v>
      </c>
      <c r="C71" s="24" t="s">
        <v>473</v>
      </c>
      <c r="D71" s="24" t="s">
        <v>9</v>
      </c>
      <c r="E71" s="24" t="s">
        <v>473</v>
      </c>
      <c r="F71" s="24"/>
      <c r="G71" s="24"/>
      <c r="H71" s="24"/>
      <c r="I71" s="24"/>
      <c r="J71" s="28" t="s">
        <v>244</v>
      </c>
    </row>
    <row r="72" spans="1:10" outlineLevel="1" x14ac:dyDescent="0.25">
      <c r="A72" s="24" t="s">
        <v>332</v>
      </c>
      <c r="B72" s="24" t="s">
        <v>332</v>
      </c>
      <c r="C72" s="24" t="s">
        <v>471</v>
      </c>
      <c r="D72" s="24" t="s">
        <v>332</v>
      </c>
      <c r="E72" s="24" t="s">
        <v>471</v>
      </c>
      <c r="F72" s="24"/>
      <c r="G72" s="24"/>
      <c r="H72" s="24"/>
      <c r="I72" s="24"/>
      <c r="J72" s="28" t="s">
        <v>253</v>
      </c>
    </row>
    <row r="73" spans="1:10" outlineLevel="1" x14ac:dyDescent="0.25">
      <c r="A73" s="24" t="s">
        <v>334</v>
      </c>
      <c r="B73" s="24" t="s">
        <v>334</v>
      </c>
      <c r="C73" s="24" t="s">
        <v>471</v>
      </c>
      <c r="D73" s="24" t="s">
        <v>334</v>
      </c>
      <c r="E73" s="24" t="s">
        <v>471</v>
      </c>
      <c r="F73" s="24"/>
      <c r="G73" s="24"/>
      <c r="H73" s="24"/>
      <c r="I73" s="24"/>
      <c r="J73" s="28" t="s">
        <v>254</v>
      </c>
    </row>
    <row r="74" spans="1:10" x14ac:dyDescent="0.25">
      <c r="A74" s="24" t="s">
        <v>10</v>
      </c>
      <c r="B74" s="24" t="s">
        <v>10</v>
      </c>
      <c r="C74" s="24" t="s">
        <v>471</v>
      </c>
      <c r="D74" s="24"/>
      <c r="E74" s="24"/>
      <c r="F74" s="24"/>
      <c r="G74" s="24"/>
      <c r="H74" s="24"/>
      <c r="I74" s="24"/>
      <c r="J74" s="28" t="s">
        <v>245</v>
      </c>
    </row>
    <row r="75" spans="1:10" ht="75" x14ac:dyDescent="0.25">
      <c r="A75" s="24" t="s">
        <v>11</v>
      </c>
      <c r="B75" s="24" t="s">
        <v>11</v>
      </c>
      <c r="C75" s="24" t="s">
        <v>471</v>
      </c>
      <c r="D75" s="24" t="s">
        <v>11</v>
      </c>
      <c r="E75" s="24" t="s">
        <v>471</v>
      </c>
      <c r="F75" s="24" t="s">
        <v>11</v>
      </c>
      <c r="G75" s="24" t="s">
        <v>471</v>
      </c>
      <c r="H75" s="24"/>
      <c r="I75" s="24"/>
      <c r="J75" s="28" t="s">
        <v>246</v>
      </c>
    </row>
    <row r="76" spans="1:10" ht="105" x14ac:dyDescent="0.25">
      <c r="A76" s="24" t="s">
        <v>109</v>
      </c>
      <c r="B76" s="24"/>
      <c r="C76" s="24"/>
      <c r="D76" s="24"/>
      <c r="E76" s="24"/>
      <c r="F76" s="24"/>
      <c r="G76" s="24"/>
      <c r="H76" s="24" t="s">
        <v>109</v>
      </c>
      <c r="I76" s="24" t="s">
        <v>472</v>
      </c>
      <c r="J76" s="28" t="s">
        <v>401</v>
      </c>
    </row>
    <row r="77" spans="1:10" ht="30" x14ac:dyDescent="0.25">
      <c r="A77" s="24" t="s">
        <v>312</v>
      </c>
      <c r="B77" s="24"/>
      <c r="C77" s="24"/>
      <c r="D77" s="24"/>
      <c r="E77" s="24"/>
      <c r="F77" s="24"/>
      <c r="G77" s="24"/>
      <c r="H77" s="24" t="s">
        <v>312</v>
      </c>
      <c r="I77" s="24" t="s">
        <v>471</v>
      </c>
      <c r="J77" s="28" t="s">
        <v>402</v>
      </c>
    </row>
    <row r="78" spans="1:10" x14ac:dyDescent="0.25">
      <c r="A78" s="24" t="s">
        <v>313</v>
      </c>
      <c r="B78" s="24"/>
      <c r="C78" s="24"/>
      <c r="D78" s="24"/>
      <c r="E78" s="24"/>
      <c r="F78" s="24"/>
      <c r="G78" s="24"/>
      <c r="H78" s="24" t="s">
        <v>313</v>
      </c>
      <c r="I78" s="24" t="s">
        <v>471</v>
      </c>
      <c r="J78" s="28" t="s">
        <v>403</v>
      </c>
    </row>
    <row r="79" spans="1:10" ht="30" x14ac:dyDescent="0.25">
      <c r="A79" s="24" t="s">
        <v>105</v>
      </c>
      <c r="B79" s="24"/>
      <c r="C79" s="24"/>
      <c r="D79" s="24" t="s">
        <v>105</v>
      </c>
      <c r="E79" s="24" t="s">
        <v>472</v>
      </c>
      <c r="F79" s="24" t="s">
        <v>105</v>
      </c>
      <c r="G79" s="24" t="s">
        <v>472</v>
      </c>
      <c r="H79" s="24"/>
      <c r="I79" s="24"/>
      <c r="J79" s="28" t="s">
        <v>400</v>
      </c>
    </row>
    <row r="80" spans="1:10" ht="30" x14ac:dyDescent="0.25">
      <c r="A80" s="24" t="s">
        <v>96</v>
      </c>
      <c r="B80" s="24"/>
      <c r="C80" s="24"/>
      <c r="D80" s="24" t="s">
        <v>96</v>
      </c>
      <c r="E80" s="24" t="s">
        <v>472</v>
      </c>
      <c r="F80" s="24" t="s">
        <v>96</v>
      </c>
      <c r="G80" s="24" t="s">
        <v>472</v>
      </c>
      <c r="H80" s="24"/>
      <c r="I80" s="24"/>
      <c r="J80" s="28" t="s">
        <v>399</v>
      </c>
    </row>
    <row r="81" spans="1:10" ht="30" x14ac:dyDescent="0.25">
      <c r="A81" s="24" t="s">
        <v>12</v>
      </c>
      <c r="B81" s="24" t="s">
        <v>12</v>
      </c>
      <c r="C81" s="24" t="s">
        <v>473</v>
      </c>
      <c r="D81" s="24" t="s">
        <v>12</v>
      </c>
      <c r="E81" s="24" t="s">
        <v>473</v>
      </c>
      <c r="F81" s="24" t="s">
        <v>12</v>
      </c>
      <c r="G81" s="24" t="s">
        <v>473</v>
      </c>
      <c r="H81" s="24" t="s">
        <v>12</v>
      </c>
      <c r="I81" s="24" t="s">
        <v>473</v>
      </c>
      <c r="J81" s="28" t="s">
        <v>364</v>
      </c>
    </row>
    <row r="82" spans="1:10" ht="30" outlineLevel="1" x14ac:dyDescent="0.25">
      <c r="A82" s="24" t="s">
        <v>366</v>
      </c>
      <c r="B82" s="24" t="s">
        <v>366</v>
      </c>
      <c r="C82" s="24" t="s">
        <v>473</v>
      </c>
      <c r="D82" s="24" t="s">
        <v>366</v>
      </c>
      <c r="E82" s="24" t="s">
        <v>473</v>
      </c>
      <c r="F82" s="24" t="s">
        <v>366</v>
      </c>
      <c r="G82" s="24" t="s">
        <v>473</v>
      </c>
      <c r="H82" s="24" t="s">
        <v>366</v>
      </c>
      <c r="I82" s="24" t="s">
        <v>473</v>
      </c>
      <c r="J82" s="28" t="s">
        <v>250</v>
      </c>
    </row>
    <row r="83" spans="1:10" outlineLevel="2" x14ac:dyDescent="0.25">
      <c r="A83" s="24" t="s">
        <v>319</v>
      </c>
      <c r="B83" s="24" t="s">
        <v>319</v>
      </c>
      <c r="C83" s="24" t="s">
        <v>472</v>
      </c>
      <c r="D83" s="24" t="s">
        <v>319</v>
      </c>
      <c r="E83" s="24" t="s">
        <v>472</v>
      </c>
      <c r="F83" s="24" t="s">
        <v>319</v>
      </c>
      <c r="G83" s="24" t="s">
        <v>472</v>
      </c>
      <c r="H83" s="24" t="s">
        <v>319</v>
      </c>
      <c r="I83" s="24" t="s">
        <v>472</v>
      </c>
      <c r="J83" s="28" t="s">
        <v>252</v>
      </c>
    </row>
    <row r="84" spans="1:10" outlineLevel="2" x14ac:dyDescent="0.25">
      <c r="A84" s="24" t="s">
        <v>323</v>
      </c>
      <c r="B84" s="24" t="s">
        <v>323</v>
      </c>
      <c r="C84" s="24" t="s">
        <v>472</v>
      </c>
      <c r="D84" s="24" t="s">
        <v>323</v>
      </c>
      <c r="E84" s="24" t="s">
        <v>472</v>
      </c>
      <c r="F84" s="24" t="s">
        <v>323</v>
      </c>
      <c r="G84" s="24" t="s">
        <v>472</v>
      </c>
      <c r="H84" s="24" t="s">
        <v>323</v>
      </c>
      <c r="I84" s="24" t="s">
        <v>472</v>
      </c>
      <c r="J84" s="28" t="s">
        <v>251</v>
      </c>
    </row>
  </sheetData>
  <autoFilter ref="A1:J84" xr:uid="{FDEA2CAE-FE26-41C2-AF8E-3E70AF93167C}"/>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53E82-B327-47E2-870B-417C35E60AAF}">
  <dimension ref="A1:F52"/>
  <sheetViews>
    <sheetView topLeftCell="A4" workbookViewId="0">
      <selection activeCell="A48" sqref="A48"/>
    </sheetView>
  </sheetViews>
  <sheetFormatPr defaultRowHeight="15" x14ac:dyDescent="0.25"/>
  <cols>
    <col min="1" max="1" width="189.7109375" style="24" bestFit="1" customWidth="1"/>
    <col min="2" max="2" width="68.42578125" style="24" hidden="1" customWidth="1"/>
    <col min="3" max="3" width="131.140625" style="40" bestFit="1" customWidth="1"/>
    <col min="4" max="4" width="34.85546875" style="24" bestFit="1" customWidth="1"/>
    <col min="5" max="5" width="70" style="28" customWidth="1"/>
    <col min="6" max="6" width="45.7109375" style="28" customWidth="1"/>
    <col min="7" max="16384" width="9.140625" style="24"/>
  </cols>
  <sheetData>
    <row r="1" spans="1:6" x14ac:dyDescent="0.25">
      <c r="A1" s="24" t="s">
        <v>420</v>
      </c>
      <c r="B1" s="24" t="s">
        <v>429</v>
      </c>
      <c r="C1" s="40" t="s">
        <v>421</v>
      </c>
      <c r="D1" s="24" t="s">
        <v>428</v>
      </c>
      <c r="E1" s="28" t="s">
        <v>150</v>
      </c>
      <c r="F1" s="28" t="s">
        <v>464</v>
      </c>
    </row>
    <row r="2" spans="1:6" ht="30" x14ac:dyDescent="0.25">
      <c r="A2" s="24" t="s">
        <v>442</v>
      </c>
      <c r="B2" s="24" t="s">
        <v>430</v>
      </c>
      <c r="C2" s="40" t="s">
        <v>456</v>
      </c>
      <c r="D2" s="24" t="s">
        <v>422</v>
      </c>
      <c r="E2" s="28" t="s">
        <v>423</v>
      </c>
    </row>
    <row r="3" spans="1:6" x14ac:dyDescent="0.25">
      <c r="A3" s="24" t="s">
        <v>443</v>
      </c>
      <c r="B3" s="24" t="s">
        <v>431</v>
      </c>
      <c r="C3" s="40" t="s">
        <v>463</v>
      </c>
      <c r="D3" s="24" t="s">
        <v>424</v>
      </c>
      <c r="E3" s="28" t="s">
        <v>425</v>
      </c>
    </row>
    <row r="4" spans="1:6" x14ac:dyDescent="0.25">
      <c r="A4" s="24" t="s">
        <v>444</v>
      </c>
      <c r="B4" s="24" t="s">
        <v>432</v>
      </c>
      <c r="C4" s="40">
        <v>1</v>
      </c>
      <c r="D4" s="24" t="s">
        <v>426</v>
      </c>
      <c r="E4" s="28" t="s">
        <v>427</v>
      </c>
    </row>
    <row r="5" spans="1:6" ht="30" x14ac:dyDescent="0.25">
      <c r="A5" s="24" t="s">
        <v>445</v>
      </c>
      <c r="B5" s="24" t="s">
        <v>433</v>
      </c>
      <c r="C5" s="40" t="str">
        <f>"IF " &amp; Comparison!$B$65&amp; " = 'PAYER' THEN " &amp; A14 &amp; " ELSE " &amp; A32</f>
        <v>IF transactionType.initiator = 'PAYER' THEN CustomerCreditTransferInitiationV11.PaymentInformation.Debtor.Name ELSE CustomerCreditTransferInitiationV11.PaymentInformation.CreditTransferTransactionInformation.Creditor.Name</v>
      </c>
      <c r="D5" s="24" t="s">
        <v>434</v>
      </c>
      <c r="E5" s="28" t="s">
        <v>435</v>
      </c>
    </row>
    <row r="6" spans="1:6" ht="60" x14ac:dyDescent="0.25">
      <c r="A6" s="24" t="s">
        <v>437</v>
      </c>
      <c r="C6" s="40" t="str">
        <f>"IF " &amp; Comparison!$B$65&amp; " = 'PAYER' THEN " &amp; A15 &amp; " ELSE " &amp; A33</f>
        <v>IF transactionType.initiator = 'PAYER' THEN CustomerCreditTransferInitiationV11.PaymentInformation.Debtor.Identification.PrivateIdentification.DateAndPlaceOfBirth.BirthDate ELSE CustomerCreditTransferInitiationV11.PaymentInformation.CreditTransferTransactionInformation.Creditor.Identification.PrivateIdentification.DateAndPlaceOfBirth.BirthDate</v>
      </c>
      <c r="D6" s="24" t="s">
        <v>447</v>
      </c>
      <c r="E6" s="28" t="s">
        <v>436</v>
      </c>
    </row>
    <row r="7" spans="1:6" ht="60" x14ac:dyDescent="0.25">
      <c r="A7" s="24" t="s">
        <v>438</v>
      </c>
      <c r="C7" s="40" t="str">
        <f>"IF " &amp; Comparison!$B$65&amp; " = 'PAYER' THEN " &amp; A16 &amp; " ELSE " &amp; A34</f>
        <v>IF transactionType.initiator = 'PAYER' THEN CustomerCreditTransferInitiationV11.PaymentInformation.Debtor.Identification.PrivateIdentification.Other.Identification ELSE CustomerCreditTransferInitiationV11.PaymentInformation.CreditTransferTransactionInformation.Creditor.Identification.PrivateIdentification.Other.Identification</v>
      </c>
      <c r="D7" s="24" t="s">
        <v>422</v>
      </c>
      <c r="E7" s="28" t="s">
        <v>449</v>
      </c>
    </row>
    <row r="8" spans="1:6" ht="60" x14ac:dyDescent="0.25">
      <c r="A8" s="24" t="s">
        <v>439</v>
      </c>
      <c r="C8" s="40" t="str">
        <f>"IF " &amp; Comparison!$B$65&amp; " = 'PAYER' THEN " &amp; A17 &amp; " ELSE " &amp; A35</f>
        <v>IF transactionType.initiator = 'PAYER' THEN CustomerCreditTransferInitiationV11.PaymentInformation.Debtor.Identification.PrivateIdentification.Other.SchemeName.Proprietary ELSE CustomerCreditTransferInitiationV11.PaymentInformation.CreditTransferTransactionInformation.Creditor.Identification.PrivateIdentification.Other.SchemeName.Proprietary</v>
      </c>
      <c r="D8" s="24" t="s">
        <v>422</v>
      </c>
      <c r="E8" s="28" t="s">
        <v>448</v>
      </c>
    </row>
    <row r="9" spans="1:6" ht="30" x14ac:dyDescent="0.25">
      <c r="A9" s="24" t="s">
        <v>441</v>
      </c>
      <c r="C9" s="40" t="str">
        <f>"IF " &amp; Comparison!$B$65&amp; " = 'PAYER' THEN " &amp; A18 &amp; " ELSE " &amp; A36</f>
        <v>IF transactionType.initiator = 'PAYER' THEN CustomerCreditTransferInitiationV11.PaymentInformation.Debtor.ContactDetails.MobileNumber ELSE CustomerCreditTransferInitiationV11.PaymentInformation.CreditTransferTransactionInformation.Creditor.ContactDetails.MobileNumber</v>
      </c>
      <c r="D9" s="24" t="s">
        <v>446</v>
      </c>
      <c r="E9" s="28" t="s">
        <v>450</v>
      </c>
    </row>
    <row r="10" spans="1:6" ht="30" x14ac:dyDescent="0.25">
      <c r="A10" s="24" t="s">
        <v>451</v>
      </c>
      <c r="C10" s="40" t="str">
        <f>Comparison!B3</f>
        <v>quoteId</v>
      </c>
      <c r="D10" s="24" t="s">
        <v>422</v>
      </c>
      <c r="E10" s="28" t="s">
        <v>460</v>
      </c>
    </row>
    <row r="11" spans="1:6" ht="45" x14ac:dyDescent="0.25">
      <c r="A11" s="24" t="s">
        <v>452</v>
      </c>
      <c r="C11" s="41" t="s">
        <v>457</v>
      </c>
      <c r="D11" s="24" t="s">
        <v>458</v>
      </c>
      <c r="E11" s="28" t="s">
        <v>459</v>
      </c>
    </row>
    <row r="12" spans="1:6" ht="45" x14ac:dyDescent="0.25">
      <c r="A12" s="24" t="s">
        <v>492</v>
      </c>
      <c r="C12" s="41" t="s">
        <v>493</v>
      </c>
      <c r="D12" s="24" t="s">
        <v>458</v>
      </c>
      <c r="E12" s="28" t="s">
        <v>459</v>
      </c>
    </row>
    <row r="13" spans="1:6" ht="75" x14ac:dyDescent="0.25">
      <c r="A13" s="24" t="s">
        <v>462</v>
      </c>
      <c r="C13" s="40" t="str">
        <f>A3</f>
        <v>CustomerCreditTransferInitiationV11.GroupHeader.CreationDateTime</v>
      </c>
      <c r="D13" s="24" t="s">
        <v>424</v>
      </c>
      <c r="E13" s="28" t="s">
        <v>461</v>
      </c>
      <c r="F13" s="28" t="s">
        <v>465</v>
      </c>
    </row>
    <row r="14" spans="1:6" ht="30" x14ac:dyDescent="0.25">
      <c r="A14" s="24" t="s">
        <v>466</v>
      </c>
      <c r="C14" s="28" t="str">
        <f>Comparison!B39 &amp; " &amp; " &amp; Comparison!B40 &amp; " &amp; " &amp; Comparison!B41</f>
        <v>payer.personalInfo.complexName.firstName &amp; payer.personalInfo.complexName.middleName &amp; payer.personalInfo.complexName.lastName</v>
      </c>
      <c r="D14" s="24" t="s">
        <v>434</v>
      </c>
      <c r="E14" s="28" t="s">
        <v>435</v>
      </c>
    </row>
    <row r="15" spans="1:6" x14ac:dyDescent="0.25">
      <c r="A15" s="24" t="s">
        <v>467</v>
      </c>
      <c r="C15" s="28" t="str">
        <f>Comparison!B42</f>
        <v>payer.personalInfo.dateOfBirth</v>
      </c>
      <c r="D15" s="24" t="s">
        <v>447</v>
      </c>
      <c r="E15" s="28" t="s">
        <v>436</v>
      </c>
    </row>
    <row r="16" spans="1:6" x14ac:dyDescent="0.25">
      <c r="A16" s="24" t="s">
        <v>468</v>
      </c>
      <c r="C16" s="28" t="str">
        <f>Comparison!B28</f>
        <v>payer.partyIdInfo.partyIdentifier</v>
      </c>
      <c r="D16" s="24" t="s">
        <v>422</v>
      </c>
      <c r="E16" s="28" t="s">
        <v>449</v>
      </c>
    </row>
    <row r="17" spans="1:6" x14ac:dyDescent="0.25">
      <c r="A17" s="24" t="s">
        <v>469</v>
      </c>
      <c r="C17" s="28" t="str">
        <f>"IF "&amp;Comparison!B27&amp; " =  'PERSONAL_ID' THEN "&amp;Comparison!B29&amp;" ELSE "&amp;Comparison!B27</f>
        <v>IF payer.partyIdInfo.partyIdType =  'PERSONAL_ID' THEN payer.partyIdInfo.partySubIdOrType ELSE payer.partyIdInfo.partyIdType</v>
      </c>
      <c r="D17" s="24" t="s">
        <v>422</v>
      </c>
      <c r="E17" s="28" t="s">
        <v>448</v>
      </c>
    </row>
    <row r="18" spans="1:6" ht="30" x14ac:dyDescent="0.25">
      <c r="A18" s="24" t="s">
        <v>470</v>
      </c>
      <c r="C18" s="28" t="str">
        <f>"IF "&amp;Comparison!B27&amp; " =  'MSISDN' THEN "&amp;Comparison!B28&amp;" ELSE NULL"</f>
        <v>IF payer.partyIdInfo.partyIdType =  'MSISDN' THEN payer.partyIdInfo.partyIdentifier ELSE NULL</v>
      </c>
      <c r="D18" s="24" t="s">
        <v>446</v>
      </c>
      <c r="E18" s="28" t="s">
        <v>450</v>
      </c>
    </row>
    <row r="19" spans="1:6" x14ac:dyDescent="0.25">
      <c r="A19" s="24" t="s">
        <v>474</v>
      </c>
      <c r="C19" s="40" t="str">
        <f>Comparison!B28</f>
        <v>payer.partyIdInfo.partyIdentifier</v>
      </c>
      <c r="D19" s="24" t="s">
        <v>480</v>
      </c>
      <c r="E19" s="28" t="s">
        <v>479</v>
      </c>
    </row>
    <row r="20" spans="1:6" x14ac:dyDescent="0.25">
      <c r="A20" s="24" t="s">
        <v>475</v>
      </c>
      <c r="C20" s="40" t="str">
        <f>"IF "&amp;Comparison!B27&amp; " =  'PERSONAL_ID' THEN "&amp;Comparison!B29&amp;" ELSE "&amp;Comparison!B27</f>
        <v>IF payer.partyIdInfo.partyIdType =  'PERSONAL_ID' THEN payer.partyIdInfo.partySubIdOrType ELSE payer.partyIdInfo.partyIdType</v>
      </c>
      <c r="D20" s="24" t="s">
        <v>422</v>
      </c>
      <c r="E20" s="28" t="s">
        <v>448</v>
      </c>
    </row>
    <row r="21" spans="1:6" ht="120" x14ac:dyDescent="0.25">
      <c r="A21" s="24" t="s">
        <v>476</v>
      </c>
      <c r="C21" s="40" t="str">
        <f>Comparison!B36</f>
        <v>payer.name</v>
      </c>
      <c r="D21" s="24" t="s">
        <v>481</v>
      </c>
      <c r="E21" s="28" t="s">
        <v>620</v>
      </c>
    </row>
    <row r="22" spans="1:6" x14ac:dyDescent="0.25">
      <c r="A22" s="24" t="s">
        <v>477</v>
      </c>
      <c r="C22" s="40" t="str">
        <f>Comparison!B30</f>
        <v>payer.partyIdInfo.fspId</v>
      </c>
      <c r="D22" s="24" t="s">
        <v>422</v>
      </c>
      <c r="E22" s="28" t="s">
        <v>478</v>
      </c>
    </row>
    <row r="23" spans="1:6" ht="105" x14ac:dyDescent="0.25">
      <c r="A23" s="24" t="s">
        <v>453</v>
      </c>
      <c r="C23" s="40" t="str">
        <f>Comparison!B4</f>
        <v>transactionId</v>
      </c>
      <c r="D23" s="24" t="s">
        <v>422</v>
      </c>
      <c r="E23" s="28" t="s">
        <v>482</v>
      </c>
      <c r="F23" s="28" t="s">
        <v>483</v>
      </c>
    </row>
    <row r="24" spans="1:6" ht="75" x14ac:dyDescent="0.25">
      <c r="A24" s="24" t="s">
        <v>277</v>
      </c>
      <c r="C24" s="40" t="str">
        <f>"IF " &amp; Comparison!B64 &amp; " = NULL THEN " &amp; Comparison!B63 &amp; " ELSE " &amp; Comparison!B63 &amp; " &amp; " &amp; Comparison!B64</f>
        <v>IF transactionType.subScenario = NULL THEN transactionType.scenario ELSE transactionType.scenario &amp; transactionType.subScenario</v>
      </c>
      <c r="D24" s="24" t="s">
        <v>422</v>
      </c>
      <c r="E24" s="28" t="s">
        <v>513</v>
      </c>
    </row>
    <row r="25" spans="1:6" ht="90" x14ac:dyDescent="0.25">
      <c r="A25" s="24" t="s">
        <v>503</v>
      </c>
      <c r="C25" s="40" t="str">
        <f>"IF " &amp; Comparison!B43 &amp; " = 'SEND' THEN " &amp; Comparison!B46 &amp; " ELSE " &amp; Comparison!B46 &amp; " + " &amp; Comparison!B49</f>
        <v>IF amountType = 'SEND' THEN amount.amount ELSE amount.amount + fees.amount</v>
      </c>
      <c r="D25" s="24" t="s">
        <v>501</v>
      </c>
      <c r="E25" s="28" t="s">
        <v>502</v>
      </c>
    </row>
    <row r="26" spans="1:6" ht="90" x14ac:dyDescent="0.25">
      <c r="A26" s="24" t="s">
        <v>504</v>
      </c>
      <c r="C26" s="40" t="str">
        <f>Comparison!B45</f>
        <v>amount.currency</v>
      </c>
      <c r="D26" s="24" t="s">
        <v>501</v>
      </c>
      <c r="E26" s="28" t="s">
        <v>502</v>
      </c>
    </row>
    <row r="27" spans="1:6" ht="75" x14ac:dyDescent="0.25">
      <c r="A27" s="24" t="s">
        <v>454</v>
      </c>
      <c r="C27" s="40" t="str">
        <f>"IF " &amp; Comparison!B43 &amp; " = 'SEND' THEN " &amp; Comparison!B46 &amp; " ELSE " &amp; Comparison!B46 &amp; " + " &amp; Comparison!B49</f>
        <v>IF amountType = 'SEND' THEN amount.amount ELSE amount.amount + fees.amount</v>
      </c>
      <c r="D27" s="24" t="s">
        <v>501</v>
      </c>
      <c r="E27" s="28" t="s">
        <v>508</v>
      </c>
    </row>
    <row r="28" spans="1:6" ht="75" x14ac:dyDescent="0.25">
      <c r="A28" s="24" t="s">
        <v>505</v>
      </c>
      <c r="C28" s="40" t="str">
        <f>Comparison!B45</f>
        <v>amount.currency</v>
      </c>
      <c r="D28" s="24" t="s">
        <v>501</v>
      </c>
      <c r="E28" s="28" t="s">
        <v>508</v>
      </c>
    </row>
    <row r="29" spans="1:6" ht="30" x14ac:dyDescent="0.25">
      <c r="A29" s="24" t="s">
        <v>455</v>
      </c>
      <c r="C29" s="40" t="str">
        <f>Comparison!B45</f>
        <v>amount.currency</v>
      </c>
      <c r="D29" s="24" t="s">
        <v>506</v>
      </c>
      <c r="E29" s="28" t="s">
        <v>507</v>
      </c>
    </row>
    <row r="30" spans="1:6" ht="30" x14ac:dyDescent="0.25">
      <c r="A30" s="24" t="s">
        <v>510</v>
      </c>
      <c r="C30" s="40" t="s">
        <v>78</v>
      </c>
      <c r="D30" s="24" t="s">
        <v>511</v>
      </c>
      <c r="E30" s="28" t="s">
        <v>512</v>
      </c>
    </row>
    <row r="31" spans="1:6" x14ac:dyDescent="0.25">
      <c r="A31" s="24" t="s">
        <v>491</v>
      </c>
      <c r="C31" s="40" t="str">
        <f>Comparison!B12</f>
        <v>payee.partyIdInfo.fspId</v>
      </c>
      <c r="D31" s="24" t="s">
        <v>422</v>
      </c>
      <c r="E31" s="28" t="s">
        <v>478</v>
      </c>
    </row>
    <row r="32" spans="1:6" ht="30" x14ac:dyDescent="0.25">
      <c r="A32" s="24" t="s">
        <v>484</v>
      </c>
      <c r="C32" s="40" t="str">
        <f>Comparison!B21 &amp; " &amp; " &amp; Comparison!B22 &amp; " &amp; " &amp; Comparison!B23</f>
        <v>payee.personalInfo.complexName.firstName &amp; payee.personalInfo.complexName.middleName &amp; payee.personalInfo.complexName.lastName</v>
      </c>
      <c r="D32" s="24" t="s">
        <v>434</v>
      </c>
      <c r="E32" s="28" t="s">
        <v>435</v>
      </c>
    </row>
    <row r="33" spans="1:6" x14ac:dyDescent="0.25">
      <c r="A33" s="24" t="s">
        <v>485</v>
      </c>
      <c r="C33" s="40" t="str">
        <f>Comparison!B24</f>
        <v>payee.personalInfo.dateOfBirth</v>
      </c>
      <c r="D33" s="24" t="s">
        <v>447</v>
      </c>
      <c r="E33" s="28" t="s">
        <v>436</v>
      </c>
    </row>
    <row r="34" spans="1:6" x14ac:dyDescent="0.25">
      <c r="A34" s="24" t="s">
        <v>486</v>
      </c>
      <c r="C34" s="40" t="str">
        <f>Comparison!B10</f>
        <v>payee.partyIdInfo.partyIdentifier</v>
      </c>
      <c r="D34" s="24" t="s">
        <v>422</v>
      </c>
      <c r="E34" s="28" t="s">
        <v>449</v>
      </c>
    </row>
    <row r="35" spans="1:6" x14ac:dyDescent="0.25">
      <c r="A35" s="24" t="s">
        <v>487</v>
      </c>
      <c r="C35" s="40" t="str">
        <f>"IF "&amp;Comparison!B9&amp; " =  'PERSONAL_ID' THEN "&amp;Comparison!B11&amp;" ELSE "&amp;Comparison!B9</f>
        <v>IF payee.partyIdInfo.partyIdType =  'PERSONAL_ID' THEN payee.partyIdInfo.partySubIdOrType ELSE payee.partyIdInfo.partyIdType</v>
      </c>
      <c r="D35" s="24" t="s">
        <v>422</v>
      </c>
      <c r="E35" s="28" t="s">
        <v>448</v>
      </c>
    </row>
    <row r="36" spans="1:6" ht="30" x14ac:dyDescent="0.25">
      <c r="A36" s="24" t="s">
        <v>488</v>
      </c>
      <c r="C36" s="40" t="str">
        <f>"IF "&amp;Comparison!B9&amp; " =  'MSISDN' THEN "&amp;Comparison!B10&amp;" ELSE NULL"</f>
        <v>IF payee.partyIdInfo.partyIdType =  'MSISDN' THEN payee.partyIdInfo.partyIdentifier ELSE NULL</v>
      </c>
      <c r="D36" s="24" t="s">
        <v>446</v>
      </c>
      <c r="E36" s="28" t="s">
        <v>450</v>
      </c>
    </row>
    <row r="37" spans="1:6" x14ac:dyDescent="0.25">
      <c r="A37" s="24" t="s">
        <v>489</v>
      </c>
      <c r="C37" s="40" t="str">
        <f>Comparison!B28</f>
        <v>payer.partyIdInfo.partyIdentifier</v>
      </c>
      <c r="D37" s="24" t="s">
        <v>480</v>
      </c>
      <c r="E37" s="28" t="s">
        <v>479</v>
      </c>
    </row>
    <row r="38" spans="1:6" x14ac:dyDescent="0.25">
      <c r="A38" s="24" t="s">
        <v>490</v>
      </c>
      <c r="C38" s="40" t="str">
        <f>"IF "&amp;Comparison!B9&amp; " =  'PERSONAL_ID' THEN "&amp;Comparison!B11&amp;" ELSE "&amp;Comparison!B9</f>
        <v>IF payee.partyIdInfo.partyIdType =  'PERSONAL_ID' THEN payee.partyIdInfo.partySubIdOrType ELSE payee.partyIdInfo.partyIdType</v>
      </c>
      <c r="D38" s="24" t="s">
        <v>422</v>
      </c>
      <c r="E38" s="28" t="s">
        <v>448</v>
      </c>
    </row>
    <row r="39" spans="1:6" ht="120" x14ac:dyDescent="0.25">
      <c r="A39" s="24" t="s">
        <v>618</v>
      </c>
      <c r="C39" s="40" t="str">
        <f>Comparison!B18</f>
        <v>payee.name</v>
      </c>
      <c r="D39" s="24" t="s">
        <v>481</v>
      </c>
      <c r="E39" s="28" t="s">
        <v>620</v>
      </c>
    </row>
    <row r="40" spans="1:6" ht="75" x14ac:dyDescent="0.25">
      <c r="A40" s="24" t="s">
        <v>494</v>
      </c>
      <c r="C40" s="40" t="s">
        <v>495</v>
      </c>
      <c r="D40" s="24" t="s">
        <v>496</v>
      </c>
      <c r="E40" s="28" t="s">
        <v>497</v>
      </c>
      <c r="F40" s="28" t="s">
        <v>498</v>
      </c>
    </row>
    <row r="41" spans="1:6" ht="30" x14ac:dyDescent="0.25">
      <c r="A41" s="24" t="s">
        <v>514</v>
      </c>
      <c r="C41" s="40" t="s">
        <v>515</v>
      </c>
      <c r="D41" s="24" t="s">
        <v>516</v>
      </c>
      <c r="E41" s="28" t="s">
        <v>517</v>
      </c>
    </row>
    <row r="42" spans="1:6" ht="30" x14ac:dyDescent="0.25">
      <c r="A42" s="24" t="s">
        <v>518</v>
      </c>
      <c r="C42" s="40" t="s">
        <v>523</v>
      </c>
      <c r="D42" s="24" t="s">
        <v>422</v>
      </c>
      <c r="E42" s="28" t="s">
        <v>519</v>
      </c>
    </row>
    <row r="43" spans="1:6" ht="30" x14ac:dyDescent="0.25">
      <c r="A43" s="24" t="s">
        <v>520</v>
      </c>
      <c r="C43" s="40" t="str">
        <f>Comparison!B70</f>
        <v>transactionType.balanceOfPayments</v>
      </c>
      <c r="D43" s="24" t="s">
        <v>521</v>
      </c>
      <c r="E43" s="28" t="s">
        <v>522</v>
      </c>
    </row>
    <row r="44" spans="1:6" ht="45" x14ac:dyDescent="0.25">
      <c r="A44" s="24" t="s">
        <v>526</v>
      </c>
      <c r="C44" s="40" t="str">
        <f>Comparison!B74</f>
        <v>note</v>
      </c>
      <c r="D44" s="24" t="s">
        <v>434</v>
      </c>
      <c r="E44" s="28" t="s">
        <v>527</v>
      </c>
    </row>
    <row r="45" spans="1:6" x14ac:dyDescent="0.25">
      <c r="A45" s="24" t="s">
        <v>499</v>
      </c>
      <c r="C45" s="40" t="str">
        <f>Comparison!B35</f>
        <v>payer.merchantClassificationCode</v>
      </c>
    </row>
    <row r="46" spans="1:6" x14ac:dyDescent="0.25">
      <c r="A46" s="24" t="s">
        <v>500</v>
      </c>
      <c r="C46" s="40" t="str">
        <f>Comparison!B17</f>
        <v>payee.merchantClassificationCode</v>
      </c>
    </row>
    <row r="47" spans="1:6" x14ac:dyDescent="0.25">
      <c r="A47" s="24" t="s">
        <v>623</v>
      </c>
      <c r="C47" s="40" t="str">
        <f>Comparison!B49</f>
        <v>fees.amount</v>
      </c>
    </row>
    <row r="48" spans="1:6" x14ac:dyDescent="0.25">
      <c r="A48" s="24" t="s">
        <v>624</v>
      </c>
      <c r="C48" s="40" t="str">
        <f>Comparison!B48</f>
        <v>fees.currency</v>
      </c>
    </row>
    <row r="49" spans="1:3" x14ac:dyDescent="0.25">
      <c r="A49" s="24" t="s">
        <v>528</v>
      </c>
      <c r="C49" s="40" t="str">
        <f>Comparison!B75</f>
        <v>expiration</v>
      </c>
    </row>
    <row r="50" spans="1:3" x14ac:dyDescent="0.25">
      <c r="A50" s="24" t="s">
        <v>509</v>
      </c>
      <c r="C50" s="40" t="str">
        <f>Comparison!B66</f>
        <v>transactionType.initiatorType</v>
      </c>
    </row>
    <row r="51" spans="1:3" x14ac:dyDescent="0.25">
      <c r="A51" s="24" t="s">
        <v>524</v>
      </c>
      <c r="C51" s="40" t="str">
        <f>Comparison!B72</f>
        <v>geoCode.latitude</v>
      </c>
    </row>
    <row r="52" spans="1:3" x14ac:dyDescent="0.25">
      <c r="A52" s="24" t="s">
        <v>525</v>
      </c>
      <c r="C52" s="40" t="str">
        <f>Comparison!B73</f>
        <v>geoCode.longitude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E4AB-F417-47B0-A48D-0EBC258A1059}">
  <dimension ref="A1:F52"/>
  <sheetViews>
    <sheetView topLeftCell="D1" workbookViewId="0">
      <selection activeCell="F10" sqref="F10"/>
    </sheetView>
  </sheetViews>
  <sheetFormatPr defaultRowHeight="15" x14ac:dyDescent="0.25"/>
  <cols>
    <col min="1" max="1" width="189.7109375" style="24" bestFit="1" customWidth="1"/>
    <col min="2" max="2" width="68.42578125" style="24" hidden="1" customWidth="1"/>
    <col min="3" max="3" width="131.140625" style="40" bestFit="1" customWidth="1"/>
    <col min="4" max="4" width="34.85546875" style="24" bestFit="1" customWidth="1"/>
    <col min="5" max="5" width="70" style="28" customWidth="1"/>
    <col min="6" max="6" width="45.7109375" style="28" customWidth="1"/>
  </cols>
  <sheetData>
    <row r="1" spans="1:6" x14ac:dyDescent="0.25">
      <c r="A1" s="24" t="s">
        <v>420</v>
      </c>
      <c r="B1" s="24" t="s">
        <v>429</v>
      </c>
      <c r="C1" s="40" t="s">
        <v>421</v>
      </c>
      <c r="D1" s="24" t="s">
        <v>428</v>
      </c>
      <c r="E1" s="28" t="s">
        <v>150</v>
      </c>
      <c r="F1" s="28" t="s">
        <v>464</v>
      </c>
    </row>
    <row r="2" spans="1:6" ht="30" x14ac:dyDescent="0.25">
      <c r="A2" s="24" t="s">
        <v>529</v>
      </c>
      <c r="B2" s="24" t="s">
        <v>430</v>
      </c>
      <c r="C2" s="40" t="s">
        <v>456</v>
      </c>
      <c r="D2" s="24" t="s">
        <v>422</v>
      </c>
      <c r="E2" s="28" t="s">
        <v>423</v>
      </c>
    </row>
    <row r="3" spans="1:6" x14ac:dyDescent="0.25">
      <c r="A3" s="24" t="s">
        <v>530</v>
      </c>
      <c r="B3" s="24" t="s">
        <v>431</v>
      </c>
      <c r="C3" s="40" t="s">
        <v>463</v>
      </c>
      <c r="D3" s="24" t="s">
        <v>424</v>
      </c>
      <c r="E3" s="28" t="s">
        <v>425</v>
      </c>
    </row>
    <row r="4" spans="1:6" x14ac:dyDescent="0.25">
      <c r="A4" s="24" t="s">
        <v>531</v>
      </c>
      <c r="B4" s="24" t="s">
        <v>432</v>
      </c>
      <c r="C4" s="40">
        <v>1</v>
      </c>
      <c r="D4" s="24" t="s">
        <v>426</v>
      </c>
      <c r="E4" s="28" t="s">
        <v>427</v>
      </c>
    </row>
    <row r="5" spans="1:6" ht="30" x14ac:dyDescent="0.25">
      <c r="A5" s="24" t="s">
        <v>532</v>
      </c>
      <c r="B5" s="24" t="s">
        <v>433</v>
      </c>
      <c r="C5" s="40" t="str">
        <f>'pain.001.001.11'!A5 &amp; " {" &amp; $C$10 &amp; "}"</f>
        <v>CustomerCreditTransferInitiationV11.GroupHeader.InitiatingParty.Name {quoteId (from URI)}</v>
      </c>
      <c r="D5" s="24" t="s">
        <v>434</v>
      </c>
      <c r="E5" s="28" t="s">
        <v>435</v>
      </c>
      <c r="F5" s="28" t="s">
        <v>568</v>
      </c>
    </row>
    <row r="6" spans="1:6" x14ac:dyDescent="0.25">
      <c r="A6" s="24" t="s">
        <v>533</v>
      </c>
      <c r="C6" s="40" t="str">
        <f>'pain.001.001.11'!A6 &amp; " {" &amp; $C$10 &amp; "}"</f>
        <v>CustomerCreditTransferInitiationV11.GroupHeader.InitiatingParty.Identification.PrivateIdentification.DateAndPlaceOfBirth.BirthDate {quoteId (from URI)}</v>
      </c>
      <c r="D6" s="24" t="s">
        <v>447</v>
      </c>
      <c r="E6" s="28" t="s">
        <v>436</v>
      </c>
      <c r="F6" s="28" t="s">
        <v>568</v>
      </c>
    </row>
    <row r="7" spans="1:6" x14ac:dyDescent="0.25">
      <c r="A7" s="24" t="s">
        <v>534</v>
      </c>
      <c r="C7" s="40" t="str">
        <f>'pain.001.001.11'!A7 &amp; " {" &amp; $C$10 &amp; "}"</f>
        <v>CustomerCreditTransferInitiationV11.GroupHeader.InitiatingParty.Identification.PrivateIdentification.Other.Identification {quoteId (from URI)}</v>
      </c>
      <c r="D7" s="24" t="s">
        <v>422</v>
      </c>
      <c r="E7" s="28" t="s">
        <v>449</v>
      </c>
      <c r="F7" s="28" t="s">
        <v>568</v>
      </c>
    </row>
    <row r="8" spans="1:6" x14ac:dyDescent="0.25">
      <c r="A8" s="24" t="s">
        <v>535</v>
      </c>
      <c r="C8" s="40" t="str">
        <f>'pain.001.001.11'!A8 &amp; " {" &amp; $C$10 &amp; "}"</f>
        <v>CustomerCreditTransferInitiationV11.GroupHeader.InitiatingParty.Identification.PrivateIdentification.Other.SchemeName.Proprietary {quoteId (from URI)}</v>
      </c>
      <c r="D8" s="24" t="s">
        <v>422</v>
      </c>
      <c r="E8" s="28" t="s">
        <v>448</v>
      </c>
      <c r="F8" s="28" t="s">
        <v>568</v>
      </c>
    </row>
    <row r="9" spans="1:6" ht="30" x14ac:dyDescent="0.25">
      <c r="A9" s="24" t="s">
        <v>536</v>
      </c>
      <c r="C9" s="40" t="str">
        <f>'pain.001.001.11'!A9 &amp; " {" &amp; $C$10 &amp; "}"</f>
        <v>CustomerCreditTransferInitiationV11.GroupHeader.InitiatingParty.ContactDetails.MobileNumber {quoteId (from URI)}</v>
      </c>
      <c r="D9" s="24" t="s">
        <v>446</v>
      </c>
      <c r="E9" s="28" t="s">
        <v>450</v>
      </c>
      <c r="F9" s="28" t="s">
        <v>568</v>
      </c>
    </row>
    <row r="10" spans="1:6" ht="30" x14ac:dyDescent="0.25">
      <c r="A10" s="24" t="s">
        <v>537</v>
      </c>
      <c r="C10" s="40" t="str">
        <f>Comparison!D3</f>
        <v>quoteId (from URI)</v>
      </c>
      <c r="D10" s="24" t="s">
        <v>422</v>
      </c>
      <c r="E10" s="28" t="s">
        <v>460</v>
      </c>
      <c r="F10" s="28" t="s">
        <v>569</v>
      </c>
    </row>
    <row r="11" spans="1:6" ht="45" x14ac:dyDescent="0.25">
      <c r="A11" s="24" t="s">
        <v>538</v>
      </c>
      <c r="C11" s="40" t="str">
        <f>'pain.001.001.11'!A11 &amp; " {" &amp; $C$10 &amp; "}"</f>
        <v>CustomerCreditTransferInitiationV11.PaymentInformation.PaymentMethod {quoteId (from URI)}</v>
      </c>
      <c r="D11" s="24" t="s">
        <v>458</v>
      </c>
      <c r="E11" s="28" t="s">
        <v>459</v>
      </c>
      <c r="F11" s="28" t="s">
        <v>568</v>
      </c>
    </row>
    <row r="12" spans="1:6" ht="45" x14ac:dyDescent="0.25">
      <c r="A12" s="24" t="s">
        <v>539</v>
      </c>
      <c r="C12" s="40" t="str">
        <f>'pain.001.001.11'!A12 &amp; " {" &amp; $C$10 &amp; "}"</f>
        <v>CustomerCreditTransferInitiationV11.PaymentInformation.RequestedAdviceType.DebitAdvice.Code {quoteId (from URI)}</v>
      </c>
      <c r="D12" s="24" t="s">
        <v>458</v>
      </c>
      <c r="E12" s="28" t="s">
        <v>459</v>
      </c>
      <c r="F12" s="28" t="s">
        <v>568</v>
      </c>
    </row>
    <row r="13" spans="1:6" ht="75" x14ac:dyDescent="0.25">
      <c r="A13" s="24" t="s">
        <v>540</v>
      </c>
      <c r="C13" s="40" t="str">
        <f>A3</f>
        <v>CreditorPaymentActivationRequestV09.GroupHeader.CreationDateTime</v>
      </c>
      <c r="D13" s="24" t="s">
        <v>424</v>
      </c>
      <c r="E13" s="28" t="s">
        <v>461</v>
      </c>
      <c r="F13" s="28" t="s">
        <v>465</v>
      </c>
    </row>
    <row r="14" spans="1:6" ht="75" x14ac:dyDescent="0.25">
      <c r="A14" s="24" t="s">
        <v>570</v>
      </c>
      <c r="C14" s="40" t="str">
        <f>Comparison!D75</f>
        <v>expiration</v>
      </c>
      <c r="D14" s="24" t="s">
        <v>424</v>
      </c>
      <c r="E14" s="28" t="s">
        <v>571</v>
      </c>
    </row>
    <row r="15" spans="1:6" ht="30" x14ac:dyDescent="0.25">
      <c r="A15" s="24" t="s">
        <v>541</v>
      </c>
      <c r="C15" s="40" t="str">
        <f>'pain.001.001.11'!A14 &amp; " {" &amp; $C$10 &amp; "}"</f>
        <v>CustomerCreditTransferInitiationV11.PaymentInformation.Debtor.Name {quoteId (from URI)}</v>
      </c>
      <c r="D15" s="24" t="s">
        <v>434</v>
      </c>
      <c r="E15" s="28" t="s">
        <v>435</v>
      </c>
      <c r="F15" s="28" t="s">
        <v>568</v>
      </c>
    </row>
    <row r="16" spans="1:6" ht="30" x14ac:dyDescent="0.25">
      <c r="A16" s="24" t="s">
        <v>542</v>
      </c>
      <c r="C16" s="40" t="str">
        <f>'pain.001.001.11'!A15 &amp; " {" &amp; $C$10 &amp; "}"</f>
        <v>CustomerCreditTransferInitiationV11.PaymentInformation.Debtor.Identification.PrivateIdentification.DateAndPlaceOfBirth.BirthDate {quoteId (from URI)}</v>
      </c>
      <c r="D16" s="24" t="s">
        <v>447</v>
      </c>
      <c r="E16" s="28" t="s">
        <v>436</v>
      </c>
      <c r="F16" s="28" t="s">
        <v>568</v>
      </c>
    </row>
    <row r="17" spans="1:6" x14ac:dyDescent="0.25">
      <c r="A17" s="24" t="s">
        <v>543</v>
      </c>
      <c r="C17" s="40" t="str">
        <f>'pain.001.001.11'!A16 &amp; " {" &amp; $C$10 &amp; "}"</f>
        <v>CustomerCreditTransferInitiationV11.PaymentInformation.Debtor.Identification.PrivateIdentification.Other.Identification {quoteId (from URI)}</v>
      </c>
      <c r="D17" s="24" t="s">
        <v>422</v>
      </c>
      <c r="E17" s="28" t="s">
        <v>449</v>
      </c>
      <c r="F17" s="28" t="s">
        <v>568</v>
      </c>
    </row>
    <row r="18" spans="1:6" ht="30" x14ac:dyDescent="0.25">
      <c r="A18" s="24" t="s">
        <v>544</v>
      </c>
      <c r="C18" s="40" t="str">
        <f>'pain.001.001.11'!A17 &amp; " {" &amp; $C$10 &amp; "}"</f>
        <v>CustomerCreditTransferInitiationV11.PaymentInformation.Debtor.Identification.PrivateIdentification.Other.SchemeName.Proprietary {quoteId (from URI)}</v>
      </c>
      <c r="D18" s="24" t="s">
        <v>422</v>
      </c>
      <c r="E18" s="28" t="s">
        <v>448</v>
      </c>
      <c r="F18" s="28" t="s">
        <v>568</v>
      </c>
    </row>
    <row r="19" spans="1:6" ht="30" x14ac:dyDescent="0.25">
      <c r="A19" s="24" t="s">
        <v>545</v>
      </c>
      <c r="C19" s="40" t="str">
        <f>'pain.001.001.11'!A18 &amp; " {" &amp; $C$10 &amp; "}"</f>
        <v>CustomerCreditTransferInitiationV11.PaymentInformation.Debtor.ContactDetails.MobileNumber {quoteId (from URI)}</v>
      </c>
      <c r="D19" s="24" t="s">
        <v>446</v>
      </c>
      <c r="E19" s="28" t="s">
        <v>450</v>
      </c>
      <c r="F19" s="28" t="s">
        <v>568</v>
      </c>
    </row>
    <row r="20" spans="1:6" x14ac:dyDescent="0.25">
      <c r="A20" s="24" t="s">
        <v>546</v>
      </c>
      <c r="C20" s="40" t="str">
        <f>'pain.001.001.11'!A19 &amp; " {" &amp; $C$10 &amp; "}"</f>
        <v>CustomerCreditTransferInitiationV11.PaymentInformation.DebtorAccount.Identification.Other.Identification {quoteId (from URI)}</v>
      </c>
      <c r="D20" s="24" t="s">
        <v>480</v>
      </c>
      <c r="E20" s="28" t="s">
        <v>479</v>
      </c>
      <c r="F20" s="28" t="s">
        <v>568</v>
      </c>
    </row>
    <row r="21" spans="1:6" ht="30" x14ac:dyDescent="0.25">
      <c r="A21" s="24" t="s">
        <v>547</v>
      </c>
      <c r="C21" s="40" t="str">
        <f>'pain.001.001.11'!A20 &amp; " {" &amp; $C$10 &amp; "}"</f>
        <v>CustomerCreditTransferInitiationV11.PaymentInformation.DebtorAccount.Identification.Other.Identification.SchemeName.Proprietary {quoteId (from URI)}</v>
      </c>
      <c r="D21" s="24" t="s">
        <v>422</v>
      </c>
      <c r="E21" s="28" t="s">
        <v>448</v>
      </c>
      <c r="F21" s="28" t="s">
        <v>568</v>
      </c>
    </row>
    <row r="22" spans="1:6" ht="120" x14ac:dyDescent="0.25">
      <c r="A22" s="24" t="s">
        <v>548</v>
      </c>
      <c r="C22" s="40" t="str">
        <f>'pain.001.001.11'!A21 &amp; " {" &amp; $C$10 &amp; "}"</f>
        <v>CustomerCreditTransferInitiationV11.PaymentInformation.DebtorAccount.Name {quoteId (from URI)}</v>
      </c>
      <c r="D22" s="24" t="s">
        <v>481</v>
      </c>
      <c r="E22" s="28" t="s">
        <v>620</v>
      </c>
      <c r="F22" s="28" t="s">
        <v>568</v>
      </c>
    </row>
    <row r="23" spans="1:6" ht="30" x14ac:dyDescent="0.25">
      <c r="A23" s="24" t="s">
        <v>549</v>
      </c>
      <c r="C23" s="40" t="str">
        <f>'pain.001.001.11'!A22 &amp; " {" &amp; $C$10 &amp; "}"</f>
        <v>CustomerCreditTransferInitiationV11.PaymentInformation.DebtorAgent.FinancialInstitutionIdentification.ClearingSystemMemberIdentification.MemberIdentification {quoteId (from URI)}</v>
      </c>
      <c r="D23" s="24" t="s">
        <v>422</v>
      </c>
      <c r="E23" s="28" t="s">
        <v>478</v>
      </c>
      <c r="F23" s="28" t="s">
        <v>568</v>
      </c>
    </row>
    <row r="24" spans="1:6" ht="105" x14ac:dyDescent="0.25">
      <c r="A24" s="24" t="s">
        <v>550</v>
      </c>
      <c r="C24" s="40" t="str">
        <f>'pain.001.001.11'!A23 &amp; " {" &amp; $C$10 &amp; "}"</f>
        <v>CustomerCreditTransferInitiationV11.PaymentInformation.CreditTransferTransactionInformation.PaymentIdentification.EndToEndIdentification {quoteId (from URI)}</v>
      </c>
      <c r="D24" s="24" t="s">
        <v>422</v>
      </c>
      <c r="E24" s="28" t="s">
        <v>482</v>
      </c>
      <c r="F24" s="28" t="s">
        <v>568</v>
      </c>
    </row>
    <row r="25" spans="1:6" ht="75" x14ac:dyDescent="0.25">
      <c r="A25" s="24" t="s">
        <v>277</v>
      </c>
      <c r="C25" s="40" t="str">
        <f>'pain.001.001.11'!A24 &amp; " {" &amp; $C$10 &amp; "}"</f>
        <v>CustomerCreditTransferInitiation.PaymentInformation.CreditTransferTransaction.PaymentTypeInformation.CategoryPurpose.Proprietary {quoteId (from URI)}</v>
      </c>
      <c r="D25" s="24" t="s">
        <v>422</v>
      </c>
      <c r="E25" s="28" t="s">
        <v>513</v>
      </c>
      <c r="F25" s="28" t="s">
        <v>568</v>
      </c>
    </row>
    <row r="26" spans="1:6" ht="90" x14ac:dyDescent="0.25">
      <c r="A26" s="24" t="s">
        <v>551</v>
      </c>
      <c r="C26" s="40" t="str">
        <f>Comparison!D52</f>
        <v>transferAmount.amount</v>
      </c>
      <c r="D26" s="24" t="s">
        <v>501</v>
      </c>
      <c r="E26" s="28" t="s">
        <v>502</v>
      </c>
    </row>
    <row r="27" spans="1:6" ht="90" x14ac:dyDescent="0.25">
      <c r="A27" s="24" t="s">
        <v>552</v>
      </c>
      <c r="C27" s="40" t="str">
        <f>Comparison!D51</f>
        <v>transferAmount.currency</v>
      </c>
      <c r="D27" s="24" t="s">
        <v>501</v>
      </c>
      <c r="E27" s="28" t="s">
        <v>502</v>
      </c>
    </row>
    <row r="28" spans="1:6" ht="75" x14ac:dyDescent="0.25">
      <c r="A28" s="24" t="s">
        <v>553</v>
      </c>
      <c r="C28" s="40" t="str">
        <f>Comparison!D52</f>
        <v>transferAmount.amount</v>
      </c>
      <c r="D28" s="24" t="s">
        <v>501</v>
      </c>
      <c r="E28" s="28" t="s">
        <v>508</v>
      </c>
    </row>
    <row r="29" spans="1:6" ht="75" x14ac:dyDescent="0.25">
      <c r="A29" s="24" t="s">
        <v>554</v>
      </c>
      <c r="C29" s="40" t="str">
        <f>Comparison!D51</f>
        <v>transferAmount.currency</v>
      </c>
      <c r="D29" s="24" t="s">
        <v>501</v>
      </c>
      <c r="E29" s="28" t="s">
        <v>508</v>
      </c>
    </row>
    <row r="30" spans="1:6" ht="30" x14ac:dyDescent="0.25">
      <c r="A30" s="24" t="s">
        <v>555</v>
      </c>
      <c r="C30" s="40" t="str">
        <f>Comparison!B45</f>
        <v>amount.currency</v>
      </c>
      <c r="D30" s="24" t="s">
        <v>506</v>
      </c>
      <c r="E30" s="28" t="s">
        <v>507</v>
      </c>
    </row>
    <row r="31" spans="1:6" ht="30" x14ac:dyDescent="0.25">
      <c r="A31" s="24" t="s">
        <v>556</v>
      </c>
      <c r="C31" s="40" t="s">
        <v>78</v>
      </c>
      <c r="D31" s="24" t="s">
        <v>511</v>
      </c>
      <c r="E31" s="28" t="s">
        <v>512</v>
      </c>
    </row>
    <row r="32" spans="1:6" ht="30" x14ac:dyDescent="0.25">
      <c r="A32" s="24" t="s">
        <v>557</v>
      </c>
      <c r="C32" s="40" t="str">
        <f>'pain.001.001.11'!A31 &amp; " {" &amp; $C$10 &amp; "}"</f>
        <v>CustomerCreditTransferInitiationV11.PaymentInformation.CreditTransferTransactionInformation.CreditorAgent.FinancialInstitutionIdentification.ClearingSystemMemberIdentification.MemberIdentification {quoteId (from URI)}</v>
      </c>
      <c r="D32" s="24" t="s">
        <v>422</v>
      </c>
      <c r="E32" s="28" t="s">
        <v>478</v>
      </c>
      <c r="F32" s="28" t="s">
        <v>568</v>
      </c>
    </row>
    <row r="33" spans="1:6" ht="30" x14ac:dyDescent="0.25">
      <c r="A33" s="24" t="s">
        <v>558</v>
      </c>
      <c r="C33" s="40" t="str">
        <f>'pain.001.001.11'!A32 &amp; " {" &amp; $C$10 &amp; "}"</f>
        <v>CustomerCreditTransferInitiationV11.PaymentInformation.CreditTransferTransactionInformation.Creditor.Name {quoteId (from URI)}</v>
      </c>
      <c r="D33" s="24" t="s">
        <v>434</v>
      </c>
      <c r="E33" s="28" t="s">
        <v>435</v>
      </c>
      <c r="F33" s="28" t="s">
        <v>568</v>
      </c>
    </row>
    <row r="34" spans="1:6" ht="30" x14ac:dyDescent="0.25">
      <c r="A34" s="24" t="s">
        <v>559</v>
      </c>
      <c r="C34" s="40" t="str">
        <f>'pain.001.001.11'!A33 &amp; " {" &amp; $C$10 &amp; "}"</f>
        <v>CustomerCreditTransferInitiationV11.PaymentInformation.CreditTransferTransactionInformation.Creditor.Identification.PrivateIdentification.DateAndPlaceOfBirth.BirthDate {quoteId (from URI)}</v>
      </c>
      <c r="D34" s="24" t="s">
        <v>447</v>
      </c>
      <c r="E34" s="28" t="s">
        <v>436</v>
      </c>
      <c r="F34" s="28" t="s">
        <v>568</v>
      </c>
    </row>
    <row r="35" spans="1:6" ht="30" x14ac:dyDescent="0.25">
      <c r="A35" s="24" t="s">
        <v>560</v>
      </c>
      <c r="C35" s="40" t="str">
        <f>'pain.001.001.11'!A34 &amp; " {" &amp; $C$10 &amp; "}"</f>
        <v>CustomerCreditTransferInitiationV11.PaymentInformation.CreditTransferTransactionInformation.Creditor.Identification.PrivateIdentification.Other.Identification {quoteId (from URI)}</v>
      </c>
      <c r="D35" s="24" t="s">
        <v>422</v>
      </c>
      <c r="E35" s="28" t="s">
        <v>449</v>
      </c>
      <c r="F35" s="28" t="s">
        <v>568</v>
      </c>
    </row>
    <row r="36" spans="1:6" ht="30" x14ac:dyDescent="0.25">
      <c r="A36" s="24" t="s">
        <v>561</v>
      </c>
      <c r="C36" s="40" t="str">
        <f>'pain.001.001.11'!A35 &amp; " {" &amp; $C$10 &amp; "}"</f>
        <v>CustomerCreditTransferInitiationV11.PaymentInformation.CreditTransferTransactionInformation.Creditor.Identification.PrivateIdentification.Other.SchemeName.Proprietary {quoteId (from URI)}</v>
      </c>
      <c r="D36" s="24" t="s">
        <v>422</v>
      </c>
      <c r="E36" s="28" t="s">
        <v>448</v>
      </c>
      <c r="F36" s="28" t="s">
        <v>568</v>
      </c>
    </row>
    <row r="37" spans="1:6" ht="30" x14ac:dyDescent="0.25">
      <c r="A37" s="24" t="s">
        <v>562</v>
      </c>
      <c r="C37" s="40" t="str">
        <f>'pain.001.001.11'!A36 &amp; " {" &amp; $C$10 &amp; "}"</f>
        <v>CustomerCreditTransferInitiationV11.PaymentInformation.CreditTransferTransactionInformation.Creditor.ContactDetails.MobileNumber {quoteId (from URI)}</v>
      </c>
      <c r="D37" s="24" t="s">
        <v>446</v>
      </c>
      <c r="E37" s="28" t="s">
        <v>450</v>
      </c>
      <c r="F37" s="28" t="s">
        <v>568</v>
      </c>
    </row>
    <row r="38" spans="1:6" ht="30" x14ac:dyDescent="0.25">
      <c r="A38" s="24" t="s">
        <v>563</v>
      </c>
      <c r="C38" s="40" t="str">
        <f>'pain.001.001.11'!A37 &amp; " {" &amp; $C$10 &amp; "}"</f>
        <v>CustomerCreditTransferInitiationV11.PaymentInformation.CreditTransferTransactionInformation.CreditorAccount.Identification.Other.Identification {quoteId (from URI)}</v>
      </c>
      <c r="D38" s="24" t="s">
        <v>480</v>
      </c>
      <c r="E38" s="28" t="s">
        <v>479</v>
      </c>
      <c r="F38" s="28" t="s">
        <v>568</v>
      </c>
    </row>
    <row r="39" spans="1:6" ht="30" x14ac:dyDescent="0.25">
      <c r="A39" s="24" t="s">
        <v>564</v>
      </c>
      <c r="C39" s="40" t="str">
        <f>'pain.001.001.11'!A38 &amp; " {" &amp; $C$10 &amp; "}"</f>
        <v>CustomerCreditTransferInitiationV11.PaymentInformation.CreditTransferTransactionInformation.CreditorAccount.Identification.Other.Identification.SchemeName.Proprietary {quoteId (from URI)}</v>
      </c>
      <c r="D39" s="24" t="s">
        <v>422</v>
      </c>
      <c r="E39" s="28" t="s">
        <v>448</v>
      </c>
      <c r="F39" s="28" t="s">
        <v>568</v>
      </c>
    </row>
    <row r="40" spans="1:6" ht="120" x14ac:dyDescent="0.25">
      <c r="A40" s="24" t="s">
        <v>617</v>
      </c>
      <c r="C40" s="40" t="str">
        <f>'pain.001.001.11'!A39 &amp; " {" &amp; $C$10 &amp; "}"</f>
        <v>CustomerCreditTransferInitiationV11.PaymentInformation.CreditTransferTransactionInformation.CreditorAccount.Name {quoteId (from URI)}</v>
      </c>
      <c r="D40" s="24" t="s">
        <v>481</v>
      </c>
      <c r="E40" s="28" t="s">
        <v>620</v>
      </c>
      <c r="F40" s="28" t="s">
        <v>568</v>
      </c>
    </row>
    <row r="41" spans="1:6" ht="75" x14ac:dyDescent="0.25">
      <c r="A41" s="24" t="s">
        <v>565</v>
      </c>
      <c r="C41" s="40" t="str">
        <f>'pain.001.001.11'!A40 &amp; " {" &amp; $C$10 &amp; "}"</f>
        <v>CustomerCreditTransferInitiationV11.PaymentInformation.CreditTransferTransactionInformation.Purpose.Code {quoteId (from URI)}</v>
      </c>
      <c r="D41" s="24" t="s">
        <v>496</v>
      </c>
      <c r="E41" s="28" t="s">
        <v>497</v>
      </c>
      <c r="F41" s="28" t="s">
        <v>498</v>
      </c>
    </row>
    <row r="42" spans="1:6" ht="30" x14ac:dyDescent="0.25">
      <c r="A42" s="24" t="s">
        <v>514</v>
      </c>
      <c r="C42" s="40" t="str">
        <f>'pain.001.001.11'!A41 &amp; " {" &amp; $C$10 &amp; "}"</f>
        <v>CustomerCreditTransferInitiation.PaymentInformation.CreditTransferTransactionInformation.RegulatoryReporting.DebitCreditReportingIndicator {quoteId (from URI)}</v>
      </c>
      <c r="D42" s="24" t="s">
        <v>516</v>
      </c>
      <c r="E42" s="28" t="s">
        <v>517</v>
      </c>
      <c r="F42" s="28" t="s">
        <v>568</v>
      </c>
    </row>
    <row r="43" spans="1:6" ht="30" x14ac:dyDescent="0.25">
      <c r="A43" s="24" t="s">
        <v>518</v>
      </c>
      <c r="C43" s="40" t="str">
        <f>'pain.001.001.11'!A42 &amp; " {" &amp; $C$10 &amp; "}"</f>
        <v>CustomerCreditTransferInitiation.PaymentInformation.CreditTransferTransactionInformation.RegulatoryReporting.Details.Type {quoteId (from URI)}</v>
      </c>
      <c r="D43" s="24" t="s">
        <v>422</v>
      </c>
      <c r="E43" s="28" t="s">
        <v>519</v>
      </c>
      <c r="F43" s="28" t="s">
        <v>568</v>
      </c>
    </row>
    <row r="44" spans="1:6" ht="30" x14ac:dyDescent="0.25">
      <c r="A44" s="24" t="s">
        <v>520</v>
      </c>
      <c r="C44" s="40" t="str">
        <f>'pain.001.001.11'!A43 &amp; " {" &amp; $C$10 &amp; "}"</f>
        <v>CustomerCreditTransferInitiation.PaymentInformation.CreditTransferTransactionInformation.RegulatoryReporting.Details.Code {quoteId (from URI)}</v>
      </c>
      <c r="D44" s="24" t="s">
        <v>521</v>
      </c>
      <c r="E44" s="28" t="s">
        <v>522</v>
      </c>
      <c r="F44" s="28" t="s">
        <v>568</v>
      </c>
    </row>
    <row r="45" spans="1:6" x14ac:dyDescent="0.25">
      <c r="A45" s="24" t="s">
        <v>572</v>
      </c>
      <c r="C45" s="40" t="str">
        <f>Comparison!D55</f>
        <v>payeeReceiveAmount.amount</v>
      </c>
    </row>
    <row r="46" spans="1:6" x14ac:dyDescent="0.25">
      <c r="A46" s="24" t="s">
        <v>573</v>
      </c>
      <c r="C46" s="40" t="str">
        <f>Comparison!D54</f>
        <v>payeeReceiveAmount.currency</v>
      </c>
    </row>
    <row r="47" spans="1:6" x14ac:dyDescent="0.25">
      <c r="A47" s="24" t="s">
        <v>575</v>
      </c>
      <c r="C47" s="40" t="str">
        <f>Comparison!D58</f>
        <v>payeeFspFee.amount</v>
      </c>
    </row>
    <row r="48" spans="1:6" x14ac:dyDescent="0.25">
      <c r="A48" s="24" t="s">
        <v>576</v>
      </c>
      <c r="C48" s="40" t="str">
        <f>Comparison!D57</f>
        <v>payeeFspFee.currency</v>
      </c>
    </row>
    <row r="49" spans="1:3" x14ac:dyDescent="0.25">
      <c r="A49" s="24" t="s">
        <v>574</v>
      </c>
      <c r="C49" s="40" t="str">
        <f>Comparison!D61</f>
        <v>payeeFspCommission.amount</v>
      </c>
    </row>
    <row r="50" spans="1:3" x14ac:dyDescent="0.25">
      <c r="A50" s="24" t="s">
        <v>577</v>
      </c>
      <c r="C50" s="40" t="str">
        <f>Comparison!D60</f>
        <v>payeeFspCommission.currency</v>
      </c>
    </row>
    <row r="51" spans="1:3" x14ac:dyDescent="0.25">
      <c r="A51" s="24" t="s">
        <v>566</v>
      </c>
      <c r="C51" s="40" t="str">
        <f>Comparison!B72</f>
        <v>geoCode.latitude</v>
      </c>
    </row>
    <row r="52" spans="1:3" x14ac:dyDescent="0.25">
      <c r="A52" s="24" t="s">
        <v>567</v>
      </c>
      <c r="C52" s="40" t="str">
        <f>Comparison!B73</f>
        <v>geoCode.longitude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B8CE-796B-4C75-8AF0-55AA2ACC2722}">
  <dimension ref="A1:F50"/>
  <sheetViews>
    <sheetView topLeftCell="A25" workbookViewId="0">
      <selection sqref="A1:F49"/>
    </sheetView>
  </sheetViews>
  <sheetFormatPr defaultRowHeight="15" x14ac:dyDescent="0.25"/>
  <cols>
    <col min="1" max="1" width="189.7109375" style="24" bestFit="1" customWidth="1"/>
    <col min="2" max="2" width="68.42578125" style="24" hidden="1" customWidth="1"/>
    <col min="3" max="3" width="131.140625" style="40" bestFit="1" customWidth="1"/>
    <col min="4" max="4" width="34.85546875" style="24" bestFit="1" customWidth="1"/>
    <col min="5" max="5" width="70" style="28" customWidth="1"/>
    <col min="6" max="6" width="45.7109375" style="28" customWidth="1"/>
  </cols>
  <sheetData>
    <row r="1" spans="1:6" x14ac:dyDescent="0.25">
      <c r="A1" s="24" t="s">
        <v>420</v>
      </c>
      <c r="B1" s="24" t="s">
        <v>429</v>
      </c>
      <c r="C1" s="40" t="s">
        <v>421</v>
      </c>
      <c r="D1" s="24" t="s">
        <v>428</v>
      </c>
      <c r="E1" s="28" t="s">
        <v>150</v>
      </c>
      <c r="F1" s="28" t="s">
        <v>464</v>
      </c>
    </row>
    <row r="2" spans="1:6" ht="30" x14ac:dyDescent="0.25">
      <c r="A2" s="24" t="s">
        <v>578</v>
      </c>
      <c r="B2" s="24" t="s">
        <v>430</v>
      </c>
      <c r="C2" s="40" t="s">
        <v>456</v>
      </c>
      <c r="D2" s="24" t="s">
        <v>422</v>
      </c>
      <c r="E2" s="28" t="s">
        <v>423</v>
      </c>
    </row>
    <row r="3" spans="1:6" x14ac:dyDescent="0.25">
      <c r="A3" s="24" t="s">
        <v>579</v>
      </c>
      <c r="B3" s="24" t="s">
        <v>431</v>
      </c>
      <c r="C3" s="40" t="s">
        <v>463</v>
      </c>
      <c r="D3" s="24" t="s">
        <v>424</v>
      </c>
      <c r="E3" s="28" t="s">
        <v>425</v>
      </c>
    </row>
    <row r="4" spans="1:6" x14ac:dyDescent="0.25">
      <c r="A4" s="24" t="s">
        <v>580</v>
      </c>
      <c r="B4" s="24" t="s">
        <v>432</v>
      </c>
      <c r="C4" s="40">
        <v>1</v>
      </c>
      <c r="D4" s="24" t="s">
        <v>426</v>
      </c>
      <c r="E4" s="28" t="s">
        <v>427</v>
      </c>
    </row>
    <row r="5" spans="1:6" x14ac:dyDescent="0.25">
      <c r="A5" s="24" t="s">
        <v>581</v>
      </c>
      <c r="C5" s="40" t="s">
        <v>582</v>
      </c>
      <c r="D5" s="24" t="s">
        <v>583</v>
      </c>
      <c r="E5" s="28" t="s">
        <v>584</v>
      </c>
    </row>
    <row r="6" spans="1:6" ht="105" x14ac:dyDescent="0.25">
      <c r="A6" s="24" t="s">
        <v>587</v>
      </c>
      <c r="C6" s="40" t="str">
        <f>'pain.001.013.09'!A10 &amp; " {" &amp; Comparison!$F$5 &amp; "}"</f>
        <v>CreditorPaymentActivationRequestV09.PaymentInformation.PaymentInformationIdentification {transferId}</v>
      </c>
      <c r="D6" s="24" t="s">
        <v>422</v>
      </c>
      <c r="E6" s="28" t="s">
        <v>586</v>
      </c>
      <c r="F6" s="28" t="s">
        <v>588</v>
      </c>
    </row>
    <row r="7" spans="1:6" ht="105" x14ac:dyDescent="0.25">
      <c r="A7" s="24" t="s">
        <v>585</v>
      </c>
      <c r="C7" s="40" t="str">
        <f>Comparison!F5</f>
        <v>transferId</v>
      </c>
      <c r="D7" s="24" t="s">
        <v>422</v>
      </c>
      <c r="E7" s="28" t="s">
        <v>482</v>
      </c>
      <c r="F7" s="28" t="s">
        <v>483</v>
      </c>
    </row>
    <row r="8" spans="1:6" ht="30" x14ac:dyDescent="0.25">
      <c r="A8" s="24" t="s">
        <v>590</v>
      </c>
      <c r="C8" s="40" t="str">
        <f>Comparison!F46</f>
        <v>amount.amount</v>
      </c>
      <c r="D8" s="24" t="s">
        <v>592</v>
      </c>
      <c r="E8" s="28" t="s">
        <v>593</v>
      </c>
    </row>
    <row r="9" spans="1:6" ht="30" x14ac:dyDescent="0.25">
      <c r="A9" s="24" t="s">
        <v>591</v>
      </c>
      <c r="C9" s="40" t="str">
        <f>Comparison!F45</f>
        <v>amount.currency</v>
      </c>
      <c r="D9" s="24" t="s">
        <v>592</v>
      </c>
      <c r="E9" s="28" t="s">
        <v>593</v>
      </c>
    </row>
    <row r="10" spans="1:6" ht="30" x14ac:dyDescent="0.25">
      <c r="A10" s="24" t="s">
        <v>621</v>
      </c>
      <c r="C10" s="40" t="str">
        <f>'pain.001.013.09'!A26 &amp; " {" &amp; Comparison!$F$5 &amp; "}"</f>
        <v>CreditorPaymentActivationRequestV09.PaymentInformation.CreditTransferTransactionInformation.Amount.InstructedAmount.Amount {transferId}</v>
      </c>
      <c r="D10" s="24" t="s">
        <v>592</v>
      </c>
      <c r="E10" s="28" t="s">
        <v>593</v>
      </c>
      <c r="F10" s="28" t="s">
        <v>588</v>
      </c>
    </row>
    <row r="11" spans="1:6" ht="30" x14ac:dyDescent="0.25">
      <c r="A11" s="24" t="s">
        <v>622</v>
      </c>
      <c r="C11" s="40" t="str">
        <f>'pain.001.013.09'!A27 &amp; " {" &amp; Comparison!$F$5 &amp; "}"</f>
        <v>CreditorPaymentActivationRequestV09.PaymentInformation.CreditTransferTransactionInformation.Amount.InstructedAmount.Currency {transferId}</v>
      </c>
      <c r="D11" s="24" t="s">
        <v>592</v>
      </c>
      <c r="E11" s="28" t="s">
        <v>593</v>
      </c>
      <c r="F11" s="28" t="s">
        <v>588</v>
      </c>
    </row>
    <row r="12" spans="1:6" ht="30" x14ac:dyDescent="0.25">
      <c r="A12" s="24" t="s">
        <v>589</v>
      </c>
      <c r="C12" s="40" t="s">
        <v>78</v>
      </c>
      <c r="D12" s="24" t="s">
        <v>511</v>
      </c>
      <c r="E12" s="28" t="s">
        <v>512</v>
      </c>
    </row>
    <row r="13" spans="1:6" ht="30" x14ac:dyDescent="0.25">
      <c r="A13" s="24" t="s">
        <v>627</v>
      </c>
      <c r="C13" s="40" t="str">
        <f>'pain.001.001.11'!A47 &amp; " {" &amp; Comparison!$F$5 &amp; "}"</f>
        <v>CustomerCreditTransferInitiationV11.PaymentInformation.CreditTransferTransactionInformation.SupplementaryData.Envelope.Document.PayerFspFees.Amount {transferId}</v>
      </c>
      <c r="D13" s="24" t="s">
        <v>592</v>
      </c>
      <c r="E13" s="28" t="s">
        <v>625</v>
      </c>
      <c r="F13" s="28" t="s">
        <v>588</v>
      </c>
    </row>
    <row r="14" spans="1:6" ht="30" x14ac:dyDescent="0.25">
      <c r="A14" s="24" t="s">
        <v>628</v>
      </c>
      <c r="C14" s="40" t="str">
        <f>'pain.001.001.11'!A48 &amp; " {" &amp; Comparison!$F$5 &amp; "}"</f>
        <v>CustomerCreditTransferInitiationV11.PaymentInformation.CreditTransferTransactionInformation.SupplementaryData.Envelope.Document.PayerFspFees.Currency {transferId}</v>
      </c>
      <c r="D14" s="24" t="s">
        <v>592</v>
      </c>
      <c r="E14" s="28" t="s">
        <v>625</v>
      </c>
      <c r="F14" s="28" t="s">
        <v>588</v>
      </c>
    </row>
    <row r="15" spans="1:6" ht="30" x14ac:dyDescent="0.25">
      <c r="A15" s="24" t="s">
        <v>633</v>
      </c>
      <c r="C15" s="40" t="str">
        <f>Comparison!F30</f>
        <v>payerFsp</v>
      </c>
      <c r="D15" s="24" t="s">
        <v>422</v>
      </c>
      <c r="E15" s="28" t="s">
        <v>626</v>
      </c>
      <c r="F15" s="28" t="s">
        <v>636</v>
      </c>
    </row>
    <row r="16" spans="1:6" ht="30" x14ac:dyDescent="0.25">
      <c r="A16" s="24" t="s">
        <v>629</v>
      </c>
      <c r="C16" s="40" t="str">
        <f>'pain.001.013.09'!A47</f>
        <v>CreditorPaymentActivationRequestV09.PaymentInformation.CreditTransferTransactionInformation.SupplementaryData.Envelope.Document.PayeeFspFee.Amount</v>
      </c>
      <c r="D16" s="24" t="s">
        <v>592</v>
      </c>
      <c r="E16" s="28" t="s">
        <v>625</v>
      </c>
      <c r="F16" s="28" t="s">
        <v>588</v>
      </c>
    </row>
    <row r="17" spans="1:6" ht="30" x14ac:dyDescent="0.25">
      <c r="A17" s="24" t="s">
        <v>630</v>
      </c>
      <c r="C17" s="40" t="str">
        <f>'pain.001.013.09'!A48</f>
        <v>CreditorPaymentActivationRequestV09.PaymentInformation.CreditTransferTransactionInformation.SupplementaryData.Envelope.Document.PayeeFspFee.Currency</v>
      </c>
      <c r="D17" s="24" t="s">
        <v>592</v>
      </c>
      <c r="E17" s="28" t="s">
        <v>625</v>
      </c>
      <c r="F17" s="28" t="s">
        <v>588</v>
      </c>
    </row>
    <row r="18" spans="1:6" ht="30" x14ac:dyDescent="0.25">
      <c r="A18" s="24" t="s">
        <v>634</v>
      </c>
      <c r="C18" s="40" t="str">
        <f>Comparison!F12</f>
        <v>payeeFsp</v>
      </c>
      <c r="D18" s="24" t="s">
        <v>422</v>
      </c>
      <c r="E18" s="28" t="s">
        <v>626</v>
      </c>
      <c r="F18" s="28" t="s">
        <v>637</v>
      </c>
    </row>
    <row r="19" spans="1:6" ht="30" x14ac:dyDescent="0.25">
      <c r="A19" s="24" t="s">
        <v>631</v>
      </c>
      <c r="C19" s="40" t="str">
        <f>'pain.001.013.09'!A49</f>
        <v>CreditorPaymentActivationRequestV09.PaymentInformation.CreditTransferTransactionInformation.SupplementaryData.Envelope.Document.PayeeFspCommission.Amount</v>
      </c>
      <c r="D19" s="24" t="s">
        <v>592</v>
      </c>
      <c r="E19" s="28" t="s">
        <v>625</v>
      </c>
      <c r="F19" s="28" t="s">
        <v>588</v>
      </c>
    </row>
    <row r="20" spans="1:6" ht="30" x14ac:dyDescent="0.25">
      <c r="A20" s="24" t="s">
        <v>632</v>
      </c>
      <c r="C20" s="40" t="str">
        <f>'pain.001.013.09'!A50</f>
        <v>CreditorPaymentActivationRequestV09.PaymentInformation.CreditTransferTransactionInformation.SupplementaryData.Envelope.Document.PayeeFspCommission.Currency</v>
      </c>
      <c r="D20" s="24" t="s">
        <v>592</v>
      </c>
      <c r="E20" s="28" t="s">
        <v>625</v>
      </c>
      <c r="F20" s="28" t="s">
        <v>588</v>
      </c>
    </row>
    <row r="21" spans="1:6" ht="60" x14ac:dyDescent="0.25">
      <c r="A21" s="24" t="s">
        <v>635</v>
      </c>
      <c r="C21" s="40" t="str">
        <f>Comparison!F12</f>
        <v>payeeFsp</v>
      </c>
      <c r="D21" s="24" t="s">
        <v>422</v>
      </c>
      <c r="E21" s="28" t="s">
        <v>626</v>
      </c>
      <c r="F21" s="28" t="s">
        <v>638</v>
      </c>
    </row>
    <row r="22" spans="1:6" ht="30" x14ac:dyDescent="0.25">
      <c r="A22" s="24" t="s">
        <v>639</v>
      </c>
      <c r="C22" s="40" t="str">
        <f>'pain.001.013.09'!A5 &amp; " {" &amp; Comparison!$F$5 &amp; "}"</f>
        <v>CreditorPaymentActivationRequestV09.GroupHeader.InitiatingParty.Name {transferId}</v>
      </c>
      <c r="D22" s="24" t="s">
        <v>434</v>
      </c>
      <c r="E22" s="28" t="s">
        <v>435</v>
      </c>
      <c r="F22" s="28" t="s">
        <v>588</v>
      </c>
    </row>
    <row r="23" spans="1:6" x14ac:dyDescent="0.25">
      <c r="A23" s="24" t="s">
        <v>640</v>
      </c>
      <c r="C23" s="40" t="str">
        <f>'pain.001.013.09'!A6 &amp; " {" &amp; Comparison!$F$5 &amp; "}"</f>
        <v>CreditorPaymentActivationRequestV09.GroupHeader.InitiatingParty.Identification.PrivateIdentification.DateAndPlaceOfBirth.BirthDate {transferId}</v>
      </c>
      <c r="D23" s="24" t="s">
        <v>447</v>
      </c>
      <c r="E23" s="28" t="s">
        <v>436</v>
      </c>
      <c r="F23" s="28" t="s">
        <v>588</v>
      </c>
    </row>
    <row r="24" spans="1:6" x14ac:dyDescent="0.25">
      <c r="A24" s="24" t="s">
        <v>641</v>
      </c>
      <c r="C24" s="40" t="str">
        <f>'pain.001.013.09'!A7 &amp; " {" &amp; Comparison!$F$5 &amp; "}"</f>
        <v>CreditorPaymentActivationRequestV09.GroupHeader.InitiatingParty.Identification.PrivateIdentification.Other.Identification {transferId}</v>
      </c>
      <c r="D24" s="24" t="s">
        <v>422</v>
      </c>
      <c r="E24" s="28" t="s">
        <v>449</v>
      </c>
      <c r="F24" s="28" t="s">
        <v>588</v>
      </c>
    </row>
    <row r="25" spans="1:6" x14ac:dyDescent="0.25">
      <c r="A25" s="24" t="s">
        <v>642</v>
      </c>
      <c r="C25" s="40" t="str">
        <f>'pain.001.013.09'!A8 &amp; " {" &amp; Comparison!$F$5 &amp; "}"</f>
        <v>CreditorPaymentActivationRequestV09.GroupHeader.InitiatingParty.Identification.PrivateIdentification.Other.SchemeName.Proprietary {transferId}</v>
      </c>
      <c r="D25" s="24" t="s">
        <v>422</v>
      </c>
      <c r="E25" s="28" t="s">
        <v>448</v>
      </c>
      <c r="F25" s="28" t="s">
        <v>588</v>
      </c>
    </row>
    <row r="26" spans="1:6" ht="30" x14ac:dyDescent="0.25">
      <c r="A26" s="24" t="s">
        <v>643</v>
      </c>
      <c r="C26" s="40" t="str">
        <f>'pain.001.013.09'!A9 &amp; " {" &amp; Comparison!$F$5 &amp; "}"</f>
        <v>CreditorPaymentActivationRequestV09.GroupHeader.InitiatingParty.ContactDetails.MobileNumber {transferId}</v>
      </c>
      <c r="D26" s="24" t="s">
        <v>446</v>
      </c>
      <c r="E26" s="28" t="s">
        <v>450</v>
      </c>
      <c r="F26" s="28" t="s">
        <v>588</v>
      </c>
    </row>
    <row r="27" spans="1:6" ht="30" x14ac:dyDescent="0.25">
      <c r="A27" s="24" t="s">
        <v>608</v>
      </c>
      <c r="C27" s="40" t="str">
        <f>'pain.001.013.09'!A15 &amp; " {" &amp; Comparison!$F$5 &amp; "}"</f>
        <v>CreditorPaymentActivationRequestV09.PaymentInformation.Debtor.Name {transferId}</v>
      </c>
      <c r="D27" s="24" t="s">
        <v>434</v>
      </c>
      <c r="E27" s="28" t="s">
        <v>435</v>
      </c>
      <c r="F27" s="28" t="s">
        <v>588</v>
      </c>
    </row>
    <row r="28" spans="1:6" ht="30" x14ac:dyDescent="0.25">
      <c r="A28" s="24" t="s">
        <v>609</v>
      </c>
      <c r="C28" s="40" t="str">
        <f>'pain.001.013.09'!A16 &amp; " {" &amp; Comparison!$F$5 &amp; "}"</f>
        <v>CreditorPaymentActivationRequestV09.PaymentInformation.Debtor.Identification.PrivateIdentification.DateAndPlaceOfBirth.BirthDate {transferId}</v>
      </c>
      <c r="D28" s="24" t="s">
        <v>447</v>
      </c>
      <c r="E28" s="28" t="s">
        <v>436</v>
      </c>
      <c r="F28" s="28" t="s">
        <v>588</v>
      </c>
    </row>
    <row r="29" spans="1:6" x14ac:dyDescent="0.25">
      <c r="A29" s="24" t="s">
        <v>610</v>
      </c>
      <c r="C29" s="40" t="str">
        <f>'pain.001.013.09'!A17 &amp; " {" &amp; Comparison!$F$5 &amp; "}"</f>
        <v>CreditorPaymentActivationRequestV09.PaymentInformation.Debtor.Identification.PrivateIdentification.Other.Identification {transferId}</v>
      </c>
      <c r="D29" s="24" t="s">
        <v>422</v>
      </c>
      <c r="E29" s="28" t="s">
        <v>449</v>
      </c>
      <c r="F29" s="28" t="s">
        <v>588</v>
      </c>
    </row>
    <row r="30" spans="1:6" ht="30" x14ac:dyDescent="0.25">
      <c r="A30" s="24" t="s">
        <v>611</v>
      </c>
      <c r="C30" s="40" t="str">
        <f>'pain.001.013.09'!A18 &amp; " {" &amp; Comparison!$F$5 &amp; "}"</f>
        <v>CreditorPaymentActivationRequestV09.PaymentInformation.Debtor.Identification.PrivateIdentification.Other.SchemeName.Proprietary {transferId}</v>
      </c>
      <c r="D30" s="24" t="s">
        <v>422</v>
      </c>
      <c r="E30" s="28" t="s">
        <v>448</v>
      </c>
      <c r="F30" s="28" t="s">
        <v>588</v>
      </c>
    </row>
    <row r="31" spans="1:6" ht="30" x14ac:dyDescent="0.25">
      <c r="A31" s="24" t="s">
        <v>612</v>
      </c>
      <c r="C31" s="40" t="str">
        <f>'pain.001.013.09'!A19 &amp; " {" &amp; Comparison!$F$5 &amp; "}"</f>
        <v>CreditorPaymentActivationRequestV09.PaymentInformation.Debtor.ContactDetails.MobileNumber {transferId}</v>
      </c>
      <c r="D31" s="24" t="s">
        <v>446</v>
      </c>
      <c r="E31" s="28" t="s">
        <v>450</v>
      </c>
      <c r="F31" s="28" t="s">
        <v>588</v>
      </c>
    </row>
    <row r="32" spans="1:6" x14ac:dyDescent="0.25">
      <c r="A32" s="24" t="s">
        <v>613</v>
      </c>
      <c r="C32" s="40" t="str">
        <f>'pain.001.013.09'!A20 &amp; " {" &amp; Comparison!$F$5 &amp; "}"</f>
        <v>CreditorPaymentActivationRequestV09.PaymentInformation.DebtorAccount.Identification.Other.Identification {transferId}</v>
      </c>
      <c r="D32" s="24" t="s">
        <v>480</v>
      </c>
      <c r="E32" s="28" t="s">
        <v>479</v>
      </c>
      <c r="F32" s="28" t="s">
        <v>588</v>
      </c>
    </row>
    <row r="33" spans="1:6" ht="30" x14ac:dyDescent="0.25">
      <c r="A33" s="24" t="s">
        <v>614</v>
      </c>
      <c r="C33" s="40" t="str">
        <f>'pain.001.013.09'!A21 &amp; " {" &amp; Comparison!$F$5 &amp; "}"</f>
        <v>CreditorPaymentActivationRequestV09.PaymentInformation.DebtorAccount.Identification.Other.Identification.SchemeName.Proprietary {transferId}</v>
      </c>
      <c r="D33" s="24" t="s">
        <v>422</v>
      </c>
      <c r="E33" s="28" t="s">
        <v>448</v>
      </c>
      <c r="F33" s="28" t="s">
        <v>588</v>
      </c>
    </row>
    <row r="34" spans="1:6" ht="120" x14ac:dyDescent="0.25">
      <c r="A34" s="24" t="s">
        <v>615</v>
      </c>
      <c r="C34" s="40" t="str">
        <f>'pain.001.013.09'!A22 &amp; " {" &amp; Comparison!$F$5 &amp; "}"</f>
        <v>CreditorPaymentActivationRequestV09.PaymentInformation.DebtorAccount.Name {transferId}</v>
      </c>
      <c r="D34" s="24" t="s">
        <v>481</v>
      </c>
      <c r="E34" s="28" t="s">
        <v>620</v>
      </c>
      <c r="F34" s="28" t="s">
        <v>588</v>
      </c>
    </row>
    <row r="35" spans="1:6" ht="30" x14ac:dyDescent="0.25">
      <c r="A35" s="24" t="s">
        <v>616</v>
      </c>
      <c r="C35" s="40" t="str">
        <f>Comparison!F30</f>
        <v>payerFsp</v>
      </c>
      <c r="D35" s="24" t="s">
        <v>422</v>
      </c>
      <c r="E35" s="28" t="s">
        <v>478</v>
      </c>
      <c r="F35" s="28" t="s">
        <v>588</v>
      </c>
    </row>
    <row r="36" spans="1:6" ht="30" x14ac:dyDescent="0.25">
      <c r="A36" s="24" t="s">
        <v>594</v>
      </c>
      <c r="C36" s="40" t="str">
        <f>Comparison!F12</f>
        <v>payeeFsp</v>
      </c>
      <c r="D36" s="24" t="s">
        <v>422</v>
      </c>
      <c r="E36" s="28" t="s">
        <v>478</v>
      </c>
      <c r="F36" s="28" t="s">
        <v>588</v>
      </c>
    </row>
    <row r="37" spans="1:6" ht="30" x14ac:dyDescent="0.25">
      <c r="A37" s="24" t="s">
        <v>595</v>
      </c>
      <c r="C37" s="40" t="str">
        <f>'pain.001.013.09'!A33 &amp; " {" &amp; Comparison!$F$5 &amp; "}"</f>
        <v>CreditorPaymentActivationRequestV09.PaymentInformation.CreditTransferTransactionInformation.Creditor.Name {transferId}</v>
      </c>
      <c r="D37" s="24" t="s">
        <v>434</v>
      </c>
      <c r="E37" s="28" t="s">
        <v>435</v>
      </c>
      <c r="F37" s="28" t="s">
        <v>588</v>
      </c>
    </row>
    <row r="38" spans="1:6" ht="30" x14ac:dyDescent="0.25">
      <c r="A38" s="24" t="s">
        <v>596</v>
      </c>
      <c r="C38" s="40" t="str">
        <f>'pain.001.013.09'!A34 &amp; " {" &amp; Comparison!$F$5 &amp; "}"</f>
        <v>CreditorPaymentActivationRequestV09.PaymentInformation.CreditTransferTransactionInformation.Creditor.Identification.PrivateIdentification.DateAndPlaceOfBirth.BirthDate {transferId}</v>
      </c>
      <c r="D38" s="24" t="s">
        <v>447</v>
      </c>
      <c r="E38" s="28" t="s">
        <v>436</v>
      </c>
      <c r="F38" s="28" t="s">
        <v>588</v>
      </c>
    </row>
    <row r="39" spans="1:6" ht="30" x14ac:dyDescent="0.25">
      <c r="A39" s="24" t="s">
        <v>597</v>
      </c>
      <c r="C39" s="40" t="str">
        <f>'pain.001.013.09'!A35 &amp; " {" &amp; Comparison!$F$5 &amp; "}"</f>
        <v>CreditorPaymentActivationRequestV09.PaymentInformation.CreditTransferTransactionInformation.Creditor.Identification.PrivateIdentification.Other.Identification {transferId}</v>
      </c>
      <c r="D39" s="24" t="s">
        <v>422</v>
      </c>
      <c r="E39" s="28" t="s">
        <v>449</v>
      </c>
      <c r="F39" s="28" t="s">
        <v>588</v>
      </c>
    </row>
    <row r="40" spans="1:6" ht="30" x14ac:dyDescent="0.25">
      <c r="A40" s="24" t="s">
        <v>598</v>
      </c>
      <c r="C40" s="40" t="str">
        <f>'pain.001.013.09'!A36 &amp; " {" &amp; Comparison!$F$5 &amp; "}"</f>
        <v>CreditorPaymentActivationRequestV09.PaymentInformation.CreditTransferTransactionInformation.Creditor.Identification.PrivateIdentification.Other.SchemeName.Proprietary {transferId}</v>
      </c>
      <c r="D40" s="24" t="s">
        <v>422</v>
      </c>
      <c r="E40" s="28" t="s">
        <v>448</v>
      </c>
      <c r="F40" s="28" t="s">
        <v>588</v>
      </c>
    </row>
    <row r="41" spans="1:6" ht="30" x14ac:dyDescent="0.25">
      <c r="A41" s="24" t="s">
        <v>599</v>
      </c>
      <c r="C41" s="40" t="str">
        <f>'pain.001.013.09'!A37 &amp; " {" &amp; Comparison!$F$5 &amp; "}"</f>
        <v>CreditorPaymentActivationRequestV09.PaymentInformation.CreditTransferTransactionInformation.Creditor.ContactDetails.MobileNumber {transferId}</v>
      </c>
      <c r="D41" s="24" t="s">
        <v>446</v>
      </c>
      <c r="E41" s="28" t="s">
        <v>450</v>
      </c>
      <c r="F41" s="28" t="s">
        <v>588</v>
      </c>
    </row>
    <row r="42" spans="1:6" ht="30" x14ac:dyDescent="0.25">
      <c r="A42" s="24" t="s">
        <v>600</v>
      </c>
      <c r="C42" s="40" t="str">
        <f>'pain.001.013.09'!A38 &amp; " {" &amp; Comparison!$F$5 &amp; "}"</f>
        <v>CreditorPaymentActivationRequestV09.PaymentInformation.CreditTransferTransactionInformation.CreditorAccount.Identification.Other.Identification {transferId}</v>
      </c>
      <c r="D42" s="24" t="s">
        <v>480</v>
      </c>
      <c r="E42" s="28" t="s">
        <v>479</v>
      </c>
      <c r="F42" s="28" t="s">
        <v>588</v>
      </c>
    </row>
    <row r="43" spans="1:6" ht="30" x14ac:dyDescent="0.25">
      <c r="A43" s="24" t="s">
        <v>601</v>
      </c>
      <c r="C43" s="40" t="str">
        <f>'pain.001.013.09'!A39 &amp; " {" &amp; Comparison!$F$5 &amp; "}"</f>
        <v>CreditorPaymentActivationRequestV09.PaymentInformation.CreditTransferTransactionInformation.CreditorAccount.Identification.Other.Identification.SchemeName.Proprietary {transferId}</v>
      </c>
      <c r="D43" s="24" t="s">
        <v>422</v>
      </c>
      <c r="E43" s="28" t="s">
        <v>448</v>
      </c>
      <c r="F43" s="28" t="s">
        <v>588</v>
      </c>
    </row>
    <row r="44" spans="1:6" ht="120" x14ac:dyDescent="0.25">
      <c r="A44" s="24" t="s">
        <v>619</v>
      </c>
      <c r="C44" s="40" t="str">
        <f>'pain.001.013.09'!A40 &amp; " {" &amp; Comparison!$F$5 &amp; "}"</f>
        <v>CreditorPaymentActivationRequestV09.PaymentInformation.CreditTransferTransactionInformation.CreditorAccount.Name {transferId}</v>
      </c>
      <c r="D44" s="24" t="s">
        <v>481</v>
      </c>
      <c r="E44" s="28" t="s">
        <v>620</v>
      </c>
      <c r="F44" s="28" t="s">
        <v>588</v>
      </c>
    </row>
    <row r="45" spans="1:6" ht="75" x14ac:dyDescent="0.25">
      <c r="A45" s="24" t="s">
        <v>602</v>
      </c>
      <c r="C45" s="40" t="str">
        <f>'pain.001.013.09'!A41 &amp; " {" &amp; Comparison!$F$5 &amp; "}"</f>
        <v>CreditorPaymentActivationRequestV09.PaymentInformation.CreditTransferTransactionInformation.Purpose.Code {transferId}</v>
      </c>
      <c r="D45" s="24" t="s">
        <v>496</v>
      </c>
      <c r="E45" s="28" t="s">
        <v>497</v>
      </c>
      <c r="F45" s="28" t="s">
        <v>498</v>
      </c>
    </row>
    <row r="46" spans="1:6" ht="30" x14ac:dyDescent="0.25">
      <c r="A46" s="24" t="s">
        <v>603</v>
      </c>
      <c r="C46" s="40" t="str">
        <f>'pain.001.013.09'!A42 &amp; " {" &amp; Comparison!$F$5 &amp; "}"</f>
        <v>CustomerCreditTransferInitiation.PaymentInformation.CreditTransferTransactionInformation.RegulatoryReporting.DebitCreditReportingIndicator {transferId}</v>
      </c>
      <c r="D46" s="24" t="s">
        <v>516</v>
      </c>
      <c r="E46" s="28" t="s">
        <v>517</v>
      </c>
      <c r="F46" s="28" t="s">
        <v>588</v>
      </c>
    </row>
    <row r="47" spans="1:6" ht="30" x14ac:dyDescent="0.25">
      <c r="A47" s="24" t="s">
        <v>604</v>
      </c>
      <c r="C47" s="40" t="str">
        <f>'pain.001.013.09'!A43 &amp; " {" &amp; Comparison!$F$5 &amp; "}"</f>
        <v>CustomerCreditTransferInitiation.PaymentInformation.CreditTransferTransactionInformation.RegulatoryReporting.Details.Type {transferId}</v>
      </c>
      <c r="D47" s="24" t="s">
        <v>422</v>
      </c>
      <c r="E47" s="28" t="s">
        <v>519</v>
      </c>
      <c r="F47" s="28" t="s">
        <v>588</v>
      </c>
    </row>
    <row r="48" spans="1:6" ht="30" x14ac:dyDescent="0.25">
      <c r="A48" s="24" t="s">
        <v>605</v>
      </c>
      <c r="C48" s="40" t="str">
        <f>'pain.001.013.09'!A44 &amp; " {" &amp; Comparison!$F$5 &amp; "}"</f>
        <v>CustomerCreditTransferInitiation.PaymentInformation.CreditTransferTransactionInformation.RegulatoryReporting.Details.Code {transferId}</v>
      </c>
      <c r="D48" s="24" t="s">
        <v>521</v>
      </c>
      <c r="E48" s="28" t="s">
        <v>522</v>
      </c>
      <c r="F48" s="28" t="s">
        <v>588</v>
      </c>
    </row>
    <row r="49" spans="1:6" ht="45" x14ac:dyDescent="0.25">
      <c r="A49" s="24" t="s">
        <v>606</v>
      </c>
      <c r="C49" s="40" t="str">
        <f>'pain.001.001.11'!A44 &amp; " {" &amp; Comparison!$F$5 &amp; "}"</f>
        <v>CustomerCreditTransferInitiation.PaymentInformation.CreditTransferTransaction.RemittanceInformation.Unstructured {transferId}</v>
      </c>
      <c r="D49" s="24" t="s">
        <v>434</v>
      </c>
      <c r="E49" s="28" t="s">
        <v>527</v>
      </c>
      <c r="F49" s="28" t="s">
        <v>588</v>
      </c>
    </row>
    <row r="50" spans="1:6" x14ac:dyDescent="0.25">
      <c r="A50" s="24" t="s">
        <v>607</v>
      </c>
      <c r="C50" s="40" t="str">
        <f>Comparison!F75</f>
        <v>expiration</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E2340-5A86-4023-B720-3433E1C41D99}">
  <dimension ref="A1:F20"/>
  <sheetViews>
    <sheetView topLeftCell="A11" workbookViewId="0">
      <selection activeCell="A21" sqref="A21"/>
    </sheetView>
  </sheetViews>
  <sheetFormatPr defaultRowHeight="15" x14ac:dyDescent="0.25"/>
  <cols>
    <col min="1" max="1" width="189.7109375" style="24" bestFit="1" customWidth="1"/>
    <col min="2" max="2" width="68.42578125" style="24" hidden="1" customWidth="1"/>
    <col min="3" max="3" width="131.140625" style="40" bestFit="1" customWidth="1"/>
    <col min="4" max="4" width="34.85546875" style="24" bestFit="1" customWidth="1"/>
    <col min="5" max="5" width="70" style="28" customWidth="1"/>
    <col min="6" max="6" width="45.7109375" style="28" customWidth="1"/>
  </cols>
  <sheetData>
    <row r="1" spans="1:6" x14ac:dyDescent="0.25">
      <c r="A1" s="24" t="s">
        <v>420</v>
      </c>
      <c r="B1" s="24" t="s">
        <v>429</v>
      </c>
      <c r="C1" s="40" t="s">
        <v>421</v>
      </c>
      <c r="D1" s="24" t="s">
        <v>428</v>
      </c>
      <c r="E1" s="28" t="s">
        <v>150</v>
      </c>
      <c r="F1" s="28" t="s">
        <v>464</v>
      </c>
    </row>
    <row r="2" spans="1:6" ht="30" x14ac:dyDescent="0.25">
      <c r="A2" s="24" t="s">
        <v>644</v>
      </c>
      <c r="B2" s="24" t="s">
        <v>430</v>
      </c>
      <c r="C2" s="40" t="s">
        <v>456</v>
      </c>
      <c r="D2" s="24" t="s">
        <v>422</v>
      </c>
      <c r="E2" s="28" t="s">
        <v>423</v>
      </c>
    </row>
    <row r="3" spans="1:6" x14ac:dyDescent="0.25">
      <c r="A3" s="24" t="s">
        <v>645</v>
      </c>
      <c r="B3" s="24" t="s">
        <v>431</v>
      </c>
      <c r="C3" s="40" t="s">
        <v>463</v>
      </c>
      <c r="D3" s="24" t="s">
        <v>424</v>
      </c>
      <c r="E3" s="28" t="s">
        <v>425</v>
      </c>
    </row>
    <row r="4" spans="1:6" ht="30" x14ac:dyDescent="0.25">
      <c r="A4" s="24" t="s">
        <v>646</v>
      </c>
      <c r="B4" s="24" t="s">
        <v>432</v>
      </c>
      <c r="C4" s="40" t="str">
        <f>Comparison!H5</f>
        <v>transferId (from URI)</v>
      </c>
      <c r="D4" s="24" t="s">
        <v>422</v>
      </c>
      <c r="E4" s="28" t="s">
        <v>647</v>
      </c>
      <c r="F4" s="28" t="s">
        <v>569</v>
      </c>
    </row>
    <row r="5" spans="1:6" x14ac:dyDescent="0.25">
      <c r="A5" s="24" t="s">
        <v>648</v>
      </c>
      <c r="C5" s="40" t="str">
        <f>'pacs.008.001.10'!A3 &amp; " {" &amp; C4 &amp; "}"</f>
        <v>FIToFICustomerCreditTransferV10.GroupHeader.CreationDateTime {transferId (from URI)}</v>
      </c>
      <c r="D5" s="24" t="s">
        <v>424</v>
      </c>
      <c r="E5" s="28" t="s">
        <v>649</v>
      </c>
      <c r="F5" s="28" t="s">
        <v>650</v>
      </c>
    </row>
    <row r="6" spans="1:6" ht="105" x14ac:dyDescent="0.25">
      <c r="A6" s="24" t="s">
        <v>651</v>
      </c>
      <c r="C6" s="40" t="str">
        <f>'pain.001.001.11'!A10 &amp; " {" &amp; C4 &amp; "}"</f>
        <v>CustomerCreditTransferInitiationV11.PaymentInformation.PaymentInformationIdentification {transferId (from URI)}</v>
      </c>
      <c r="D6" s="24" t="s">
        <v>422</v>
      </c>
      <c r="E6" s="28" t="s">
        <v>586</v>
      </c>
      <c r="F6" s="28" t="s">
        <v>588</v>
      </c>
    </row>
    <row r="7" spans="1:6" ht="105" x14ac:dyDescent="0.25">
      <c r="A7" s="24" t="s">
        <v>652</v>
      </c>
      <c r="C7" s="40" t="str">
        <f>Comparison!H5</f>
        <v>transferId (from URI)</v>
      </c>
      <c r="D7" s="24" t="s">
        <v>422</v>
      </c>
      <c r="E7" s="28" t="s">
        <v>482</v>
      </c>
      <c r="F7" s="28" t="s">
        <v>569</v>
      </c>
    </row>
    <row r="8" spans="1:6" ht="60" x14ac:dyDescent="0.25">
      <c r="A8" s="24" t="s">
        <v>653</v>
      </c>
      <c r="C8" s="40" t="str">
        <f>"IF " &amp; Comparison!H78 &amp; " = 'RECEIVED' THEN 'RCVD'; ='RESERVED' THEN 'ACSC'; ='COMMITTED' THEN 'ACCC'; ='ABORTED' THEN 'RJCT'"</f>
        <v>IF transferState = 'RECEIVED' THEN 'RCVD'; ='RESERVED' THEN 'ACSC'; ='COMMITTED' THEN 'ACCC'; ='ABORTED' THEN 'RJCT'</v>
      </c>
      <c r="D8" s="24" t="s">
        <v>654</v>
      </c>
      <c r="E8" s="28" t="s">
        <v>655</v>
      </c>
      <c r="F8" s="28" t="s">
        <v>656</v>
      </c>
    </row>
    <row r="9" spans="1:6" ht="60" x14ac:dyDescent="0.25">
      <c r="A9" s="24" t="s">
        <v>657</v>
      </c>
      <c r="C9" s="40" t="str">
        <f>Comparison!H77</f>
        <v>completedTimestamp</v>
      </c>
      <c r="D9" s="24" t="s">
        <v>424</v>
      </c>
      <c r="E9" s="28" t="s">
        <v>658</v>
      </c>
    </row>
    <row r="10" spans="1:6" ht="30" x14ac:dyDescent="0.25">
      <c r="A10" s="24" t="s">
        <v>659</v>
      </c>
      <c r="C10" s="40" t="str">
        <f>'pain.001.001.11'!A47 &amp; " {" &amp; Comparison!$F$5 &amp; "}"</f>
        <v>CustomerCreditTransferInitiationV11.PaymentInformation.CreditTransferTransactionInformation.SupplementaryData.Envelope.Document.PayerFspFees.Amount {transferId}</v>
      </c>
      <c r="D10" s="24" t="s">
        <v>592</v>
      </c>
      <c r="E10" s="28" t="s">
        <v>625</v>
      </c>
    </row>
    <row r="11" spans="1:6" ht="30" x14ac:dyDescent="0.25">
      <c r="A11" s="24" t="s">
        <v>660</v>
      </c>
      <c r="C11" s="40" t="str">
        <f>'pain.001.001.11'!A48 &amp; " {" &amp; Comparison!$F$5 &amp; "}"</f>
        <v>CustomerCreditTransferInitiationV11.PaymentInformation.CreditTransferTransactionInformation.SupplementaryData.Envelope.Document.PayerFspFees.Currency {transferId}</v>
      </c>
      <c r="D11" s="24" t="s">
        <v>592</v>
      </c>
      <c r="E11" s="28" t="s">
        <v>625</v>
      </c>
    </row>
    <row r="12" spans="1:6" ht="30" x14ac:dyDescent="0.25">
      <c r="A12" s="24" t="s">
        <v>661</v>
      </c>
      <c r="C12" s="40" t="str">
        <f>'pacs.008.001.10'!A35 &amp; " {" &amp; $C$4 &amp; "}"</f>
        <v>FIToFICustomerCreditTransferV10.CreditTransferTransactionInformation.DebtorAgent.FinancialInstitutionIdentification.ClearingSystemMemberIdentification.MemberIdentification {transferId (from URI)}</v>
      </c>
      <c r="D12" s="24" t="s">
        <v>422</v>
      </c>
      <c r="E12" s="28" t="s">
        <v>626</v>
      </c>
    </row>
    <row r="13" spans="1:6" ht="30" x14ac:dyDescent="0.25">
      <c r="A13" s="24" t="s">
        <v>662</v>
      </c>
      <c r="C13" s="40" t="str">
        <f>'pain.001.013.09'!A47</f>
        <v>CreditorPaymentActivationRequestV09.PaymentInformation.CreditTransferTransactionInformation.SupplementaryData.Envelope.Document.PayeeFspFee.Amount</v>
      </c>
      <c r="D13" s="24" t="s">
        <v>592</v>
      </c>
      <c r="E13" s="28" t="s">
        <v>625</v>
      </c>
    </row>
    <row r="14" spans="1:6" ht="30" x14ac:dyDescent="0.25">
      <c r="A14" s="24" t="s">
        <v>663</v>
      </c>
      <c r="C14" s="40" t="str">
        <f>'pain.001.013.09'!A48</f>
        <v>CreditorPaymentActivationRequestV09.PaymentInformation.CreditTransferTransactionInformation.SupplementaryData.Envelope.Document.PayeeFspFee.Currency</v>
      </c>
      <c r="D14" s="24" t="s">
        <v>592</v>
      </c>
      <c r="E14" s="28" t="s">
        <v>625</v>
      </c>
    </row>
    <row r="15" spans="1:6" ht="30" x14ac:dyDescent="0.25">
      <c r="A15" s="24" t="s">
        <v>664</v>
      </c>
      <c r="C15" s="40" t="str">
        <f>'pacs.008.001.10'!A36 &amp; " {" &amp; $C$4 &amp; "}"</f>
        <v>FIToFICustomerCreditTransferV10.CreditTransferTransactionInformation.CreditorAgent.FinancialInstitutionIdentification.ClearingSystemMemberIdentification.MemberIdentification {transferId (from URI)}</v>
      </c>
      <c r="D15" s="24" t="s">
        <v>422</v>
      </c>
      <c r="E15" s="28" t="s">
        <v>626</v>
      </c>
    </row>
    <row r="16" spans="1:6" ht="30" x14ac:dyDescent="0.25">
      <c r="A16" s="24" t="s">
        <v>665</v>
      </c>
      <c r="C16" s="40" t="str">
        <f>'pain.001.013.09'!A49</f>
        <v>CreditorPaymentActivationRequestV09.PaymentInformation.CreditTransferTransactionInformation.SupplementaryData.Envelope.Document.PayeeFspCommission.Amount</v>
      </c>
      <c r="D16" s="24" t="s">
        <v>592</v>
      </c>
      <c r="E16" s="28" t="s">
        <v>625</v>
      </c>
    </row>
    <row r="17" spans="1:5" ht="30" x14ac:dyDescent="0.25">
      <c r="A17" s="24" t="s">
        <v>666</v>
      </c>
      <c r="C17" s="40" t="str">
        <f>'pain.001.013.09'!A50</f>
        <v>CreditorPaymentActivationRequestV09.PaymentInformation.CreditTransferTransactionInformation.SupplementaryData.Envelope.Document.PayeeFspCommission.Currency</v>
      </c>
      <c r="D17" s="24" t="s">
        <v>592</v>
      </c>
      <c r="E17" s="28" t="s">
        <v>625</v>
      </c>
    </row>
    <row r="18" spans="1:5" ht="30" x14ac:dyDescent="0.25">
      <c r="A18" s="24" t="s">
        <v>667</v>
      </c>
      <c r="C18" s="40" t="str">
        <f>'pacs.008.001.10'!A36 &amp; " {" &amp; $C$4 &amp; "}"</f>
        <v>FIToFICustomerCreditTransferV10.CreditTransferTransactionInformation.CreditorAgent.FinancialInstitutionIdentification.ClearingSystemMemberIdentification.MemberIdentification {transferId (from URI)}</v>
      </c>
      <c r="D18" s="24" t="s">
        <v>422</v>
      </c>
      <c r="E18" s="28" t="s">
        <v>626</v>
      </c>
    </row>
    <row r="19" spans="1:5" ht="30" x14ac:dyDescent="0.25">
      <c r="A19" s="24" t="s">
        <v>668</v>
      </c>
      <c r="C19" s="40" t="str">
        <f>'pacs.008.001.10'!A35 &amp; " {" &amp; $C$4 &amp; "}"</f>
        <v>FIToFICustomerCreditTransferV10.CreditTransferTransactionInformation.DebtorAgent.FinancialInstitutionIdentification.ClearingSystemMemberIdentification.MemberIdentification {transferId (from URI)}</v>
      </c>
      <c r="D19" s="24" t="s">
        <v>422</v>
      </c>
      <c r="E19" s="28" t="s">
        <v>478</v>
      </c>
    </row>
    <row r="20" spans="1:5" ht="30" x14ac:dyDescent="0.25">
      <c r="A20" s="24" t="s">
        <v>669</v>
      </c>
      <c r="C20" s="40" t="str">
        <f>'pacs.008.001.10'!A36 &amp; " {" &amp; $C$4 &amp; "}"</f>
        <v>FIToFICustomerCreditTransferV10.CreditTransferTransactionInformation.CreditorAgent.FinancialInstitutionIdentification.ClearingSystemMemberIdentification.MemberIdentification {transferId (from URI)}</v>
      </c>
      <c r="D20" s="24" t="s">
        <v>422</v>
      </c>
      <c r="E20" s="28" t="s">
        <v>478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3589-ECC4-4A5E-8995-2684F65E09D0}">
  <sheetPr>
    <outlinePr summaryBelow="0" summaryRight="0"/>
  </sheetPr>
  <dimension ref="A1:K78"/>
  <sheetViews>
    <sheetView topLeftCell="A25" zoomScaleNormal="100" workbookViewId="0">
      <selection activeCell="H38" sqref="H38"/>
    </sheetView>
  </sheetViews>
  <sheetFormatPr defaultRowHeight="15" outlineLevelRow="3" x14ac:dyDescent="0.25"/>
  <cols>
    <col min="1" max="1" width="22.7109375" style="24" bestFit="1" customWidth="1"/>
    <col min="2" max="2" width="17.5703125" style="24" customWidth="1"/>
    <col min="3" max="3" width="19.42578125" style="24" customWidth="1"/>
    <col min="4" max="4" width="45.5703125" style="24" bestFit="1" customWidth="1"/>
    <col min="5" max="5" width="52.7109375" style="28" customWidth="1"/>
    <col min="6" max="6" width="15.42578125" style="24" bestFit="1" customWidth="1"/>
    <col min="7" max="7" width="15.42578125" style="24" customWidth="1"/>
    <col min="8" max="8" width="175.42578125" style="24" bestFit="1" customWidth="1"/>
    <col min="9" max="10" width="72.5703125" style="24" customWidth="1"/>
    <col min="11" max="11" width="51.28515625" style="28" customWidth="1"/>
    <col min="12" max="16384" width="9.140625" style="24"/>
  </cols>
  <sheetData>
    <row r="1" spans="1:11" ht="21" x14ac:dyDescent="0.25">
      <c r="A1" s="21" t="s">
        <v>120</v>
      </c>
      <c r="B1" s="22"/>
      <c r="C1" s="22"/>
      <c r="D1" s="22"/>
      <c r="E1" s="23"/>
      <c r="F1" s="22"/>
      <c r="G1" s="22"/>
      <c r="H1" s="22"/>
      <c r="I1" s="22"/>
      <c r="J1" s="22"/>
      <c r="K1" s="23"/>
    </row>
    <row r="3" spans="1:11" x14ac:dyDescent="0.25">
      <c r="A3" s="23" t="s">
        <v>121</v>
      </c>
      <c r="B3" s="23"/>
      <c r="C3" s="23"/>
      <c r="D3" s="23"/>
      <c r="E3" s="23"/>
      <c r="F3" s="23"/>
      <c r="G3" s="23"/>
      <c r="H3" s="23"/>
      <c r="I3" s="23"/>
      <c r="J3" s="23"/>
      <c r="K3" s="23"/>
    </row>
    <row r="5" spans="1:11" x14ac:dyDescent="0.25">
      <c r="A5" s="25" t="s">
        <v>0</v>
      </c>
      <c r="B5" s="25" t="s">
        <v>27</v>
      </c>
      <c r="C5" s="25" t="s">
        <v>149</v>
      </c>
      <c r="D5" s="25" t="s">
        <v>365</v>
      </c>
      <c r="E5" s="31" t="s">
        <v>150</v>
      </c>
      <c r="F5" s="25" t="s">
        <v>153</v>
      </c>
      <c r="G5" s="25" t="s">
        <v>262</v>
      </c>
      <c r="H5" s="25" t="s">
        <v>257</v>
      </c>
      <c r="I5" s="25" t="s">
        <v>265</v>
      </c>
      <c r="J5" s="25" t="s">
        <v>258</v>
      </c>
      <c r="K5" s="26" t="s">
        <v>45</v>
      </c>
    </row>
    <row r="6" spans="1:11" ht="75" x14ac:dyDescent="0.25">
      <c r="A6" s="24" t="s">
        <v>1</v>
      </c>
      <c r="D6" s="24" t="s">
        <v>1</v>
      </c>
      <c r="E6" s="28" t="s">
        <v>241</v>
      </c>
      <c r="F6" s="24" t="s">
        <v>154</v>
      </c>
      <c r="G6" s="24" t="s">
        <v>264</v>
      </c>
      <c r="H6" s="24" t="s">
        <v>268</v>
      </c>
      <c r="I6" s="24" t="s">
        <v>116</v>
      </c>
      <c r="J6" s="27" t="s">
        <v>259</v>
      </c>
    </row>
    <row r="7" spans="1:11" ht="90" x14ac:dyDescent="0.25">
      <c r="A7" s="24" t="s">
        <v>2</v>
      </c>
      <c r="D7" s="24" t="s">
        <v>2</v>
      </c>
      <c r="E7" s="28" t="s">
        <v>242</v>
      </c>
      <c r="F7" s="24" t="s">
        <v>154</v>
      </c>
      <c r="G7" s="24" t="s">
        <v>264</v>
      </c>
      <c r="H7" s="24" t="s">
        <v>269</v>
      </c>
      <c r="I7" s="24" t="s">
        <v>117</v>
      </c>
      <c r="J7" s="27" t="s">
        <v>260</v>
      </c>
    </row>
    <row r="8" spans="1:11" ht="30" x14ac:dyDescent="0.25">
      <c r="A8" s="24" t="s">
        <v>3</v>
      </c>
      <c r="B8" s="24" t="s">
        <v>41</v>
      </c>
      <c r="D8" s="24" t="s">
        <v>3</v>
      </c>
      <c r="E8" s="28" t="s">
        <v>243</v>
      </c>
      <c r="F8" s="24" t="s">
        <v>154</v>
      </c>
      <c r="G8" s="24" t="s">
        <v>263</v>
      </c>
      <c r="K8" s="28" t="s">
        <v>261</v>
      </c>
    </row>
    <row r="9" spans="1:11" s="29" customFormat="1" ht="30" x14ac:dyDescent="0.25">
      <c r="A9" s="29" t="s">
        <v>4</v>
      </c>
      <c r="D9" s="24" t="s">
        <v>4</v>
      </c>
      <c r="E9" s="30" t="s">
        <v>151</v>
      </c>
      <c r="F9" s="29" t="s">
        <v>155</v>
      </c>
      <c r="K9" s="30"/>
    </row>
    <row r="10" spans="1:11" s="29" customFormat="1" outlineLevel="1" x14ac:dyDescent="0.25">
      <c r="A10" s="29" t="s">
        <v>13</v>
      </c>
      <c r="D10" s="24" t="s">
        <v>371</v>
      </c>
      <c r="E10" s="30" t="s">
        <v>156</v>
      </c>
      <c r="F10" s="29" t="s">
        <v>155</v>
      </c>
      <c r="K10" s="30"/>
    </row>
    <row r="11" spans="1:11" ht="30" outlineLevel="2" x14ac:dyDescent="0.25">
      <c r="A11" s="24" t="s">
        <v>17</v>
      </c>
      <c r="B11" s="24" t="s">
        <v>44</v>
      </c>
      <c r="D11" s="24" t="s">
        <v>316</v>
      </c>
      <c r="E11" s="28" t="s">
        <v>157</v>
      </c>
      <c r="F11" s="24" t="s">
        <v>154</v>
      </c>
      <c r="G11" s="24" t="s">
        <v>264</v>
      </c>
      <c r="H11" s="24" t="s">
        <v>286</v>
      </c>
      <c r="J11" s="27" t="s">
        <v>304</v>
      </c>
      <c r="K11" s="28" t="s">
        <v>300</v>
      </c>
    </row>
    <row r="12" spans="1:11" ht="30" outlineLevel="2" x14ac:dyDescent="0.25">
      <c r="A12" s="24" t="s">
        <v>18</v>
      </c>
      <c r="D12" s="24" t="s">
        <v>320</v>
      </c>
      <c r="E12" s="28" t="s">
        <v>158</v>
      </c>
      <c r="F12" s="24" t="s">
        <v>154</v>
      </c>
      <c r="G12" s="24" t="s">
        <v>264</v>
      </c>
      <c r="H12" s="24" t="s">
        <v>285</v>
      </c>
      <c r="J12" s="27" t="s">
        <v>303</v>
      </c>
      <c r="K12" s="28" t="s">
        <v>47</v>
      </c>
    </row>
    <row r="13" spans="1:11" ht="30" outlineLevel="2" x14ac:dyDescent="0.25">
      <c r="A13" s="24" t="s">
        <v>19</v>
      </c>
      <c r="B13" s="24" t="s">
        <v>41</v>
      </c>
      <c r="D13" s="24" t="s">
        <v>324</v>
      </c>
      <c r="E13" s="28" t="s">
        <v>159</v>
      </c>
      <c r="F13" s="24" t="s">
        <v>154</v>
      </c>
      <c r="G13" s="24" t="s">
        <v>263</v>
      </c>
      <c r="K13" s="28" t="s">
        <v>301</v>
      </c>
    </row>
    <row r="14" spans="1:11" ht="30" outlineLevel="2" x14ac:dyDescent="0.25">
      <c r="A14" s="24" t="s">
        <v>20</v>
      </c>
      <c r="D14" s="24" t="s">
        <v>326</v>
      </c>
      <c r="E14" s="28" t="s">
        <v>160</v>
      </c>
      <c r="F14" s="24" t="s">
        <v>154</v>
      </c>
      <c r="G14" s="24" t="s">
        <v>264</v>
      </c>
      <c r="H14" s="24" t="s">
        <v>270</v>
      </c>
      <c r="J14" s="27" t="s">
        <v>305</v>
      </c>
      <c r="K14" s="28" t="s">
        <v>298</v>
      </c>
    </row>
    <row r="15" spans="1:11" s="29" customFormat="1" ht="30" outlineLevel="2" x14ac:dyDescent="0.25">
      <c r="A15" s="29" t="s">
        <v>12</v>
      </c>
      <c r="B15" s="29" t="s">
        <v>41</v>
      </c>
      <c r="D15" s="24" t="s">
        <v>367</v>
      </c>
      <c r="E15" s="30" t="s">
        <v>362</v>
      </c>
      <c r="F15" s="29" t="s">
        <v>155</v>
      </c>
      <c r="K15" s="30"/>
    </row>
    <row r="16" spans="1:11" s="29" customFormat="1" ht="30" outlineLevel="2" x14ac:dyDescent="0.25">
      <c r="A16" s="29" t="s">
        <v>247</v>
      </c>
      <c r="D16" s="24" t="s">
        <v>368</v>
      </c>
      <c r="E16" s="30" t="s">
        <v>250</v>
      </c>
      <c r="K16" s="30"/>
    </row>
    <row r="17" spans="1:11" s="29" customFormat="1" outlineLevel="2" x14ac:dyDescent="0.25">
      <c r="A17" s="24" t="s">
        <v>248</v>
      </c>
      <c r="D17" s="24" t="s">
        <v>328</v>
      </c>
      <c r="E17" s="28" t="s">
        <v>252</v>
      </c>
      <c r="K17" s="30"/>
    </row>
    <row r="18" spans="1:11" s="29" customFormat="1" outlineLevel="2" x14ac:dyDescent="0.25">
      <c r="A18" s="24" t="s">
        <v>249</v>
      </c>
      <c r="D18" s="24" t="s">
        <v>330</v>
      </c>
      <c r="E18" s="28" t="s">
        <v>251</v>
      </c>
      <c r="K18" s="30"/>
    </row>
    <row r="19" spans="1:11" ht="60" outlineLevel="1" x14ac:dyDescent="0.25">
      <c r="A19" s="24" t="s">
        <v>14</v>
      </c>
      <c r="B19" s="24" t="s">
        <v>41</v>
      </c>
      <c r="D19" s="24" t="s">
        <v>331</v>
      </c>
      <c r="E19" s="28" t="s">
        <v>161</v>
      </c>
      <c r="F19" s="24" t="s">
        <v>154</v>
      </c>
      <c r="G19" s="24" t="s">
        <v>264</v>
      </c>
      <c r="H19" s="24" t="s">
        <v>271</v>
      </c>
      <c r="J19" s="27" t="s">
        <v>291</v>
      </c>
      <c r="K19" s="28" t="s">
        <v>267</v>
      </c>
    </row>
    <row r="20" spans="1:11" ht="30" outlineLevel="1" x14ac:dyDescent="0.25">
      <c r="A20" s="24" t="s">
        <v>15</v>
      </c>
      <c r="B20" s="24" t="s">
        <v>41</v>
      </c>
      <c r="D20" s="24" t="s">
        <v>333</v>
      </c>
      <c r="E20" s="28" t="s">
        <v>203</v>
      </c>
      <c r="F20" s="24" t="s">
        <v>154</v>
      </c>
      <c r="G20" s="24" t="s">
        <v>264</v>
      </c>
      <c r="H20" s="24" t="s">
        <v>282</v>
      </c>
      <c r="J20" s="27" t="s">
        <v>266</v>
      </c>
      <c r="K20" s="28" t="s">
        <v>302</v>
      </c>
    </row>
    <row r="21" spans="1:11" s="29" customFormat="1" ht="30" outlineLevel="1" x14ac:dyDescent="0.25">
      <c r="A21" s="29" t="s">
        <v>16</v>
      </c>
      <c r="D21" s="24" t="s">
        <v>373</v>
      </c>
      <c r="E21" s="30" t="s">
        <v>204</v>
      </c>
      <c r="F21" s="29" t="s">
        <v>155</v>
      </c>
      <c r="K21" s="30"/>
    </row>
    <row r="22" spans="1:11" s="29" customFormat="1" outlineLevel="2" x14ac:dyDescent="0.25">
      <c r="A22" s="29" t="s">
        <v>21</v>
      </c>
      <c r="D22" s="24" t="s">
        <v>374</v>
      </c>
      <c r="E22" s="30" t="s">
        <v>205</v>
      </c>
      <c r="F22" s="29" t="s">
        <v>155</v>
      </c>
      <c r="K22" s="30" t="s">
        <v>46</v>
      </c>
    </row>
    <row r="23" spans="1:11" outlineLevel="3" x14ac:dyDescent="0.25">
      <c r="A23" s="24" t="s">
        <v>23</v>
      </c>
      <c r="B23" s="24" t="s">
        <v>41</v>
      </c>
      <c r="D23" s="24" t="s">
        <v>335</v>
      </c>
      <c r="E23" s="28" t="s">
        <v>206</v>
      </c>
      <c r="F23" s="24" t="s">
        <v>154</v>
      </c>
      <c r="G23" s="24" t="s">
        <v>264</v>
      </c>
      <c r="H23" s="24" t="s">
        <v>272</v>
      </c>
      <c r="J23" s="27" t="s">
        <v>266</v>
      </c>
      <c r="K23" s="28" t="s">
        <v>296</v>
      </c>
    </row>
    <row r="24" spans="1:11" outlineLevel="3" x14ac:dyDescent="0.25">
      <c r="A24" s="24" t="s">
        <v>24</v>
      </c>
      <c r="B24" s="24" t="s">
        <v>41</v>
      </c>
      <c r="D24" s="24" t="s">
        <v>336</v>
      </c>
      <c r="E24" s="28" t="s">
        <v>207</v>
      </c>
      <c r="F24" s="24" t="s">
        <v>154</v>
      </c>
      <c r="G24" s="24" t="s">
        <v>264</v>
      </c>
      <c r="H24" s="24" t="s">
        <v>272</v>
      </c>
      <c r="J24" s="27" t="s">
        <v>266</v>
      </c>
      <c r="K24" s="28" t="s">
        <v>296</v>
      </c>
    </row>
    <row r="25" spans="1:11" outlineLevel="3" x14ac:dyDescent="0.25">
      <c r="A25" s="24" t="s">
        <v>25</v>
      </c>
      <c r="B25" s="24" t="s">
        <v>41</v>
      </c>
      <c r="D25" s="24" t="s">
        <v>337</v>
      </c>
      <c r="E25" s="28" t="s">
        <v>208</v>
      </c>
      <c r="F25" s="24" t="s">
        <v>154</v>
      </c>
      <c r="G25" s="24" t="s">
        <v>264</v>
      </c>
      <c r="H25" s="24" t="s">
        <v>272</v>
      </c>
      <c r="J25" s="27" t="s">
        <v>266</v>
      </c>
      <c r="K25" s="28" t="s">
        <v>296</v>
      </c>
    </row>
    <row r="26" spans="1:11" outlineLevel="2" x14ac:dyDescent="0.25">
      <c r="A26" s="24" t="s">
        <v>22</v>
      </c>
      <c r="B26" s="24" t="s">
        <v>41</v>
      </c>
      <c r="D26" s="24" t="s">
        <v>338</v>
      </c>
      <c r="E26" s="28" t="s">
        <v>209</v>
      </c>
      <c r="F26" s="24" t="s">
        <v>154</v>
      </c>
      <c r="G26" s="24" t="s">
        <v>264</v>
      </c>
      <c r="H26" s="24" t="s">
        <v>273</v>
      </c>
      <c r="J26" s="27" t="s">
        <v>292</v>
      </c>
      <c r="K26" s="28" t="s">
        <v>297</v>
      </c>
    </row>
    <row r="27" spans="1:11" s="29" customFormat="1" ht="30" x14ac:dyDescent="0.25">
      <c r="A27" s="29" t="s">
        <v>5</v>
      </c>
      <c r="D27" s="24" t="s">
        <v>5</v>
      </c>
      <c r="E27" s="30" t="s">
        <v>152</v>
      </c>
      <c r="F27" s="29" t="s">
        <v>155</v>
      </c>
      <c r="K27" s="30"/>
    </row>
    <row r="28" spans="1:11" s="29" customFormat="1" outlineLevel="1" x14ac:dyDescent="0.25">
      <c r="A28" s="29" t="s">
        <v>13</v>
      </c>
      <c r="D28" s="24" t="s">
        <v>372</v>
      </c>
      <c r="E28" s="30" t="s">
        <v>156</v>
      </c>
      <c r="F28" s="29" t="s">
        <v>155</v>
      </c>
      <c r="K28" s="30"/>
    </row>
    <row r="29" spans="1:11" ht="30" outlineLevel="2" x14ac:dyDescent="0.25">
      <c r="A29" s="24" t="s">
        <v>17</v>
      </c>
      <c r="B29" s="24" t="s">
        <v>44</v>
      </c>
      <c r="D29" s="24" t="s">
        <v>339</v>
      </c>
      <c r="E29" s="28" t="s">
        <v>157</v>
      </c>
      <c r="F29" s="24" t="s">
        <v>154</v>
      </c>
      <c r="G29" s="24" t="s">
        <v>264</v>
      </c>
      <c r="H29" s="24" t="s">
        <v>287</v>
      </c>
      <c r="J29" s="27" t="s">
        <v>304</v>
      </c>
      <c r="K29" s="28" t="s">
        <v>300</v>
      </c>
    </row>
    <row r="30" spans="1:11" outlineLevel="2" x14ac:dyDescent="0.25">
      <c r="A30" s="24" t="s">
        <v>18</v>
      </c>
      <c r="D30" s="24" t="s">
        <v>340</v>
      </c>
      <c r="E30" s="28" t="s">
        <v>158</v>
      </c>
      <c r="F30" s="24" t="s">
        <v>154</v>
      </c>
      <c r="G30" s="24" t="s">
        <v>264</v>
      </c>
      <c r="H30" s="24" t="s">
        <v>284</v>
      </c>
      <c r="J30" s="27" t="s">
        <v>303</v>
      </c>
      <c r="K30" s="28" t="s">
        <v>299</v>
      </c>
    </row>
    <row r="31" spans="1:11" ht="30" outlineLevel="2" x14ac:dyDescent="0.25">
      <c r="A31" s="24" t="s">
        <v>19</v>
      </c>
      <c r="B31" s="24" t="s">
        <v>41</v>
      </c>
      <c r="D31" s="24" t="s">
        <v>341</v>
      </c>
      <c r="E31" s="28" t="s">
        <v>159</v>
      </c>
      <c r="F31" s="24" t="s">
        <v>154</v>
      </c>
      <c r="G31" s="24" t="s">
        <v>263</v>
      </c>
      <c r="K31" s="28" t="s">
        <v>301</v>
      </c>
    </row>
    <row r="32" spans="1:11" ht="30" outlineLevel="2" x14ac:dyDescent="0.25">
      <c r="A32" s="24" t="s">
        <v>20</v>
      </c>
      <c r="D32" s="24" t="s">
        <v>342</v>
      </c>
      <c r="E32" s="28" t="s">
        <v>160</v>
      </c>
      <c r="F32" s="24" t="s">
        <v>154</v>
      </c>
      <c r="G32" s="24" t="s">
        <v>264</v>
      </c>
      <c r="H32" s="24" t="s">
        <v>274</v>
      </c>
      <c r="J32" s="27" t="s">
        <v>305</v>
      </c>
      <c r="K32" s="28" t="s">
        <v>298</v>
      </c>
    </row>
    <row r="33" spans="1:11" s="29" customFormat="1" ht="30" outlineLevel="2" x14ac:dyDescent="0.25">
      <c r="A33" s="29" t="s">
        <v>12</v>
      </c>
      <c r="B33" s="29" t="s">
        <v>41</v>
      </c>
      <c r="D33" s="24" t="s">
        <v>369</v>
      </c>
      <c r="E33" s="30" t="s">
        <v>363</v>
      </c>
      <c r="F33" s="29" t="s">
        <v>155</v>
      </c>
      <c r="K33" s="30"/>
    </row>
    <row r="34" spans="1:11" s="29" customFormat="1" ht="30" outlineLevel="2" x14ac:dyDescent="0.25">
      <c r="A34" s="29" t="s">
        <v>247</v>
      </c>
      <c r="D34" s="24" t="s">
        <v>370</v>
      </c>
      <c r="E34" s="30" t="s">
        <v>250</v>
      </c>
      <c r="K34" s="30"/>
    </row>
    <row r="35" spans="1:11" s="29" customFormat="1" outlineLevel="2" x14ac:dyDescent="0.25">
      <c r="A35" s="24" t="s">
        <v>248</v>
      </c>
      <c r="B35" s="24"/>
      <c r="D35" s="24" t="s">
        <v>343</v>
      </c>
      <c r="E35" s="28" t="s">
        <v>252</v>
      </c>
      <c r="K35" s="30"/>
    </row>
    <row r="36" spans="1:11" s="29" customFormat="1" outlineLevel="2" x14ac:dyDescent="0.25">
      <c r="A36" s="24" t="s">
        <v>249</v>
      </c>
      <c r="B36" s="24"/>
      <c r="D36" s="24" t="s">
        <v>344</v>
      </c>
      <c r="E36" s="28" t="s">
        <v>251</v>
      </c>
      <c r="K36" s="30"/>
    </row>
    <row r="37" spans="1:11" ht="60" outlineLevel="1" x14ac:dyDescent="0.25">
      <c r="A37" s="24" t="s">
        <v>14</v>
      </c>
      <c r="B37" s="24" t="s">
        <v>41</v>
      </c>
      <c r="D37" s="24" t="s">
        <v>345</v>
      </c>
      <c r="E37" s="28" t="s">
        <v>161</v>
      </c>
      <c r="F37" s="24" t="s">
        <v>154</v>
      </c>
      <c r="G37" s="24" t="s">
        <v>264</v>
      </c>
      <c r="H37" s="24" t="s">
        <v>271</v>
      </c>
      <c r="J37" s="27" t="s">
        <v>291</v>
      </c>
      <c r="K37" s="28" t="s">
        <v>267</v>
      </c>
    </row>
    <row r="38" spans="1:11" ht="30" outlineLevel="1" x14ac:dyDescent="0.25">
      <c r="A38" s="24" t="s">
        <v>15</v>
      </c>
      <c r="B38" s="24" t="s">
        <v>41</v>
      </c>
      <c r="D38" s="24" t="s">
        <v>346</v>
      </c>
      <c r="E38" s="28" t="s">
        <v>203</v>
      </c>
      <c r="F38" s="24" t="s">
        <v>154</v>
      </c>
      <c r="G38" s="24" t="s">
        <v>264</v>
      </c>
      <c r="H38" s="24" t="s">
        <v>283</v>
      </c>
      <c r="J38" s="27" t="s">
        <v>266</v>
      </c>
      <c r="K38" s="28" t="s">
        <v>302</v>
      </c>
    </row>
    <row r="39" spans="1:11" s="29" customFormat="1" ht="30" outlineLevel="1" x14ac:dyDescent="0.25">
      <c r="A39" s="29" t="s">
        <v>16</v>
      </c>
      <c r="B39" s="29" t="s">
        <v>41</v>
      </c>
      <c r="D39" s="24" t="s">
        <v>375</v>
      </c>
      <c r="E39" s="30" t="s">
        <v>204</v>
      </c>
      <c r="F39" s="29" t="s">
        <v>155</v>
      </c>
      <c r="K39" s="30"/>
    </row>
    <row r="40" spans="1:11" s="29" customFormat="1" outlineLevel="2" x14ac:dyDescent="0.25">
      <c r="A40" s="29" t="s">
        <v>21</v>
      </c>
      <c r="B40" s="29" t="s">
        <v>41</v>
      </c>
      <c r="D40" s="24" t="s">
        <v>376</v>
      </c>
      <c r="E40" s="30" t="s">
        <v>205</v>
      </c>
      <c r="F40" s="29" t="s">
        <v>155</v>
      </c>
      <c r="K40" s="30"/>
    </row>
    <row r="41" spans="1:11" outlineLevel="3" x14ac:dyDescent="0.25">
      <c r="A41" s="24" t="s">
        <v>23</v>
      </c>
      <c r="B41" s="24" t="s">
        <v>41</v>
      </c>
      <c r="D41" s="24" t="s">
        <v>347</v>
      </c>
      <c r="E41" s="28" t="s">
        <v>206</v>
      </c>
      <c r="F41" s="24" t="s">
        <v>154</v>
      </c>
      <c r="G41" s="24" t="s">
        <v>264</v>
      </c>
      <c r="H41" s="24" t="s">
        <v>275</v>
      </c>
      <c r="J41" s="27" t="s">
        <v>266</v>
      </c>
      <c r="K41" s="28" t="s">
        <v>296</v>
      </c>
    </row>
    <row r="42" spans="1:11" outlineLevel="3" x14ac:dyDescent="0.25">
      <c r="A42" s="24" t="s">
        <v>24</v>
      </c>
      <c r="B42" s="24" t="s">
        <v>41</v>
      </c>
      <c r="D42" s="24" t="s">
        <v>348</v>
      </c>
      <c r="E42" s="28" t="s">
        <v>207</v>
      </c>
      <c r="F42" s="24" t="s">
        <v>154</v>
      </c>
      <c r="G42" s="24" t="s">
        <v>264</v>
      </c>
      <c r="H42" s="24" t="s">
        <v>275</v>
      </c>
      <c r="J42" s="27" t="s">
        <v>266</v>
      </c>
      <c r="K42" s="28" t="s">
        <v>296</v>
      </c>
    </row>
    <row r="43" spans="1:11" outlineLevel="3" x14ac:dyDescent="0.25">
      <c r="A43" s="24" t="s">
        <v>25</v>
      </c>
      <c r="B43" s="24" t="s">
        <v>41</v>
      </c>
      <c r="D43" s="24" t="s">
        <v>349</v>
      </c>
      <c r="E43" s="28" t="s">
        <v>208</v>
      </c>
      <c r="F43" s="24" t="s">
        <v>154</v>
      </c>
      <c r="G43" s="24" t="s">
        <v>264</v>
      </c>
      <c r="H43" s="24" t="s">
        <v>275</v>
      </c>
      <c r="J43" s="27" t="s">
        <v>266</v>
      </c>
      <c r="K43" s="28" t="s">
        <v>296</v>
      </c>
    </row>
    <row r="44" spans="1:11" outlineLevel="2" x14ac:dyDescent="0.25">
      <c r="A44" s="24" t="s">
        <v>22</v>
      </c>
      <c r="B44" s="24" t="s">
        <v>41</v>
      </c>
      <c r="D44" s="24" t="s">
        <v>350</v>
      </c>
      <c r="E44" s="28" t="s">
        <v>209</v>
      </c>
      <c r="F44" s="24" t="s">
        <v>154</v>
      </c>
      <c r="G44" s="24" t="s">
        <v>264</v>
      </c>
      <c r="H44" s="24" t="s">
        <v>276</v>
      </c>
      <c r="J44" s="27" t="s">
        <v>292</v>
      </c>
      <c r="K44" s="28" t="s">
        <v>297</v>
      </c>
    </row>
    <row r="45" spans="1:11" ht="105" x14ac:dyDescent="0.25">
      <c r="A45" s="24" t="s">
        <v>6</v>
      </c>
      <c r="B45" s="24" t="s">
        <v>28</v>
      </c>
      <c r="D45" s="24" t="s">
        <v>6</v>
      </c>
      <c r="E45" s="28" t="s">
        <v>210</v>
      </c>
      <c r="F45" s="24" t="s">
        <v>154</v>
      </c>
      <c r="G45" s="24" t="s">
        <v>263</v>
      </c>
      <c r="K45" s="28" t="s">
        <v>310</v>
      </c>
    </row>
    <row r="46" spans="1:11" s="29" customFormat="1" ht="135" x14ac:dyDescent="0.25">
      <c r="A46" s="29" t="s">
        <v>26</v>
      </c>
      <c r="D46" s="24" t="s">
        <v>26</v>
      </c>
      <c r="E46" s="30" t="s">
        <v>211</v>
      </c>
      <c r="F46" s="29" t="s">
        <v>155</v>
      </c>
      <c r="K46" s="30"/>
    </row>
    <row r="47" spans="1:11" ht="75" outlineLevel="1" x14ac:dyDescent="0.25">
      <c r="A47" s="24" t="s">
        <v>29</v>
      </c>
      <c r="D47" s="24" t="s">
        <v>318</v>
      </c>
      <c r="E47" s="28" t="s">
        <v>215</v>
      </c>
      <c r="F47" s="24" t="s">
        <v>154</v>
      </c>
      <c r="G47" s="24" t="s">
        <v>264</v>
      </c>
      <c r="H47" s="24" t="s">
        <v>307</v>
      </c>
      <c r="J47" s="27" t="s">
        <v>309</v>
      </c>
      <c r="K47" s="28" t="s">
        <v>308</v>
      </c>
    </row>
    <row r="48" spans="1:11" outlineLevel="1" x14ac:dyDescent="0.25">
      <c r="A48" s="24" t="s">
        <v>26</v>
      </c>
      <c r="D48" s="24" t="s">
        <v>322</v>
      </c>
      <c r="E48" s="28" t="s">
        <v>214</v>
      </c>
      <c r="F48" s="24" t="s">
        <v>154</v>
      </c>
      <c r="G48" s="24" t="s">
        <v>264</v>
      </c>
      <c r="H48" s="24" t="s">
        <v>306</v>
      </c>
      <c r="J48" s="27" t="s">
        <v>309</v>
      </c>
    </row>
    <row r="49" spans="1:11" s="29" customFormat="1" x14ac:dyDescent="0.25">
      <c r="A49" s="29" t="s">
        <v>7</v>
      </c>
      <c r="B49" s="29" t="s">
        <v>41</v>
      </c>
      <c r="D49" s="24" t="s">
        <v>7</v>
      </c>
      <c r="E49" s="30" t="s">
        <v>212</v>
      </c>
      <c r="F49" s="29" t="s">
        <v>155</v>
      </c>
      <c r="K49" s="30"/>
    </row>
    <row r="50" spans="1:11" outlineLevel="1" x14ac:dyDescent="0.25">
      <c r="A50" s="24" t="s">
        <v>29</v>
      </c>
      <c r="B50" s="24" t="s">
        <v>41</v>
      </c>
      <c r="D50" s="24" t="s">
        <v>351</v>
      </c>
      <c r="E50" s="28" t="s">
        <v>213</v>
      </c>
      <c r="F50" s="24" t="s">
        <v>154</v>
      </c>
      <c r="G50" s="24" t="s">
        <v>264</v>
      </c>
      <c r="H50" s="24" t="s">
        <v>280</v>
      </c>
      <c r="J50" s="27" t="s">
        <v>293</v>
      </c>
      <c r="K50" s="28" t="s">
        <v>311</v>
      </c>
    </row>
    <row r="51" spans="1:11" outlineLevel="1" x14ac:dyDescent="0.25">
      <c r="A51" s="24" t="s">
        <v>26</v>
      </c>
      <c r="B51" s="24" t="s">
        <v>41</v>
      </c>
      <c r="D51" s="24" t="s">
        <v>352</v>
      </c>
      <c r="E51" s="28" t="s">
        <v>216</v>
      </c>
      <c r="F51" s="24" t="s">
        <v>154</v>
      </c>
      <c r="G51" s="24" t="s">
        <v>264</v>
      </c>
      <c r="H51" s="24" t="s">
        <v>280</v>
      </c>
      <c r="J51" s="27" t="s">
        <v>293</v>
      </c>
      <c r="K51" s="28" t="s">
        <v>311</v>
      </c>
    </row>
    <row r="52" spans="1:11" s="29" customFormat="1" x14ac:dyDescent="0.25">
      <c r="A52" s="29" t="s">
        <v>8</v>
      </c>
      <c r="D52" s="24" t="s">
        <v>8</v>
      </c>
      <c r="E52" s="30" t="s">
        <v>217</v>
      </c>
      <c r="F52" s="29" t="s">
        <v>155</v>
      </c>
      <c r="K52" s="30"/>
    </row>
    <row r="53" spans="1:11" ht="30" outlineLevel="1" x14ac:dyDescent="0.25">
      <c r="A53" s="24" t="s">
        <v>30</v>
      </c>
      <c r="B53" s="24" t="s">
        <v>38</v>
      </c>
      <c r="D53" s="24" t="s">
        <v>353</v>
      </c>
      <c r="E53" s="28" t="s">
        <v>239</v>
      </c>
      <c r="F53" s="24" t="s">
        <v>154</v>
      </c>
      <c r="G53" s="24" t="s">
        <v>264</v>
      </c>
      <c r="H53" s="24" t="s">
        <v>277</v>
      </c>
      <c r="J53" s="27" t="s">
        <v>278</v>
      </c>
    </row>
    <row r="54" spans="1:11" ht="30" outlineLevel="1" x14ac:dyDescent="0.25">
      <c r="A54" s="24" t="s">
        <v>31</v>
      </c>
      <c r="B54" s="24" t="s">
        <v>41</v>
      </c>
      <c r="D54" s="24" t="s">
        <v>354</v>
      </c>
      <c r="E54" s="28" t="s">
        <v>218</v>
      </c>
      <c r="F54" s="24" t="s">
        <v>154</v>
      </c>
      <c r="G54" s="24" t="s">
        <v>263</v>
      </c>
    </row>
    <row r="55" spans="1:11" outlineLevel="1" x14ac:dyDescent="0.25">
      <c r="A55" s="24" t="s">
        <v>32</v>
      </c>
      <c r="B55" s="24" t="s">
        <v>39</v>
      </c>
      <c r="D55" s="24" t="s">
        <v>355</v>
      </c>
      <c r="E55" s="28" t="s">
        <v>219</v>
      </c>
      <c r="F55" s="24" t="s">
        <v>154</v>
      </c>
      <c r="G55" s="24" t="s">
        <v>264</v>
      </c>
      <c r="H55" s="24" t="s">
        <v>288</v>
      </c>
      <c r="J55" s="27" t="s">
        <v>290</v>
      </c>
      <c r="K55" s="28" t="s">
        <v>289</v>
      </c>
    </row>
    <row r="56" spans="1:11" ht="30" outlineLevel="1" x14ac:dyDescent="0.25">
      <c r="A56" s="24" t="s">
        <v>33</v>
      </c>
      <c r="B56" s="24" t="s">
        <v>40</v>
      </c>
      <c r="D56" s="24" t="s">
        <v>356</v>
      </c>
      <c r="E56" s="28" t="s">
        <v>240</v>
      </c>
      <c r="F56" s="24" t="s">
        <v>154</v>
      </c>
      <c r="G56" s="24" t="s">
        <v>264</v>
      </c>
      <c r="H56" s="24" t="s">
        <v>271</v>
      </c>
      <c r="J56" s="27" t="s">
        <v>291</v>
      </c>
    </row>
    <row r="57" spans="1:11" s="29" customFormat="1" ht="30" outlineLevel="1" x14ac:dyDescent="0.25">
      <c r="A57" s="29" t="s">
        <v>34</v>
      </c>
      <c r="B57" s="29" t="s">
        <v>41</v>
      </c>
      <c r="D57" s="24" t="s">
        <v>377</v>
      </c>
      <c r="E57" s="30" t="s">
        <v>220</v>
      </c>
      <c r="F57" s="29" t="s">
        <v>155</v>
      </c>
      <c r="K57" s="30"/>
    </row>
    <row r="58" spans="1:11" ht="30" outlineLevel="2" x14ac:dyDescent="0.25">
      <c r="A58" s="24" t="s">
        <v>36</v>
      </c>
      <c r="B58" s="24" t="s">
        <v>41</v>
      </c>
      <c r="D58" s="24" t="s">
        <v>357</v>
      </c>
      <c r="E58" s="28" t="s">
        <v>255</v>
      </c>
      <c r="F58" s="24" t="s">
        <v>154</v>
      </c>
      <c r="G58" s="24" t="s">
        <v>263</v>
      </c>
    </row>
    <row r="59" spans="1:11" outlineLevel="2" x14ac:dyDescent="0.25">
      <c r="A59" s="24" t="s">
        <v>37</v>
      </c>
      <c r="B59" s="24" t="s">
        <v>41</v>
      </c>
      <c r="D59" s="24" t="s">
        <v>358</v>
      </c>
      <c r="E59" s="28" t="s">
        <v>256</v>
      </c>
      <c r="F59" s="24" t="s">
        <v>154</v>
      </c>
      <c r="G59" s="24" t="s">
        <v>263</v>
      </c>
    </row>
    <row r="60" spans="1:11" ht="30" outlineLevel="1" x14ac:dyDescent="0.25">
      <c r="A60" s="24" t="s">
        <v>35</v>
      </c>
      <c r="B60" s="24" t="s">
        <v>41</v>
      </c>
      <c r="D60" s="24" t="s">
        <v>359</v>
      </c>
      <c r="E60" s="28" t="s">
        <v>221</v>
      </c>
      <c r="F60" s="24" t="s">
        <v>154</v>
      </c>
      <c r="G60" s="24" t="s">
        <v>264</v>
      </c>
      <c r="H60" s="24" t="s">
        <v>279</v>
      </c>
      <c r="J60" s="27" t="s">
        <v>294</v>
      </c>
      <c r="K60" s="28" t="s">
        <v>295</v>
      </c>
    </row>
    <row r="61" spans="1:11" s="29" customFormat="1" ht="30" x14ac:dyDescent="0.25">
      <c r="A61" s="29" t="s">
        <v>9</v>
      </c>
      <c r="B61" s="29" t="s">
        <v>41</v>
      </c>
      <c r="D61" s="24" t="s">
        <v>9</v>
      </c>
      <c r="E61" s="30" t="s">
        <v>244</v>
      </c>
      <c r="F61" s="29" t="s">
        <v>155</v>
      </c>
      <c r="K61" s="30"/>
    </row>
    <row r="62" spans="1:11" outlineLevel="1" x14ac:dyDescent="0.25">
      <c r="A62" s="24" t="s">
        <v>42</v>
      </c>
      <c r="B62" s="24" t="s">
        <v>41</v>
      </c>
      <c r="D62" s="24" t="s">
        <v>332</v>
      </c>
      <c r="E62" s="28" t="s">
        <v>253</v>
      </c>
      <c r="F62" s="24" t="s">
        <v>154</v>
      </c>
      <c r="G62" s="24" t="s">
        <v>264</v>
      </c>
      <c r="H62" s="24" t="s">
        <v>271</v>
      </c>
      <c r="J62" s="27" t="s">
        <v>291</v>
      </c>
    </row>
    <row r="63" spans="1:11" outlineLevel="1" x14ac:dyDescent="0.25">
      <c r="A63" s="24" t="s">
        <v>43</v>
      </c>
      <c r="B63" s="24" t="s">
        <v>41</v>
      </c>
      <c r="D63" s="24" t="s">
        <v>334</v>
      </c>
      <c r="E63" s="28" t="s">
        <v>254</v>
      </c>
      <c r="F63" s="24" t="s">
        <v>154</v>
      </c>
      <c r="G63" s="24" t="s">
        <v>264</v>
      </c>
      <c r="H63" s="24" t="s">
        <v>271</v>
      </c>
      <c r="J63" s="27" t="s">
        <v>291</v>
      </c>
    </row>
    <row r="64" spans="1:11" x14ac:dyDescent="0.25">
      <c r="A64" s="24" t="s">
        <v>10</v>
      </c>
      <c r="B64" s="24" t="s">
        <v>41</v>
      </c>
      <c r="D64" s="24" t="s">
        <v>10</v>
      </c>
      <c r="E64" s="28" t="s">
        <v>245</v>
      </c>
      <c r="F64" s="24" t="s">
        <v>154</v>
      </c>
      <c r="G64" s="24" t="s">
        <v>264</v>
      </c>
      <c r="H64" s="24" t="s">
        <v>281</v>
      </c>
      <c r="J64" s="27" t="s">
        <v>293</v>
      </c>
    </row>
    <row r="65" spans="1:11" ht="60" x14ac:dyDescent="0.25">
      <c r="A65" s="24" t="s">
        <v>11</v>
      </c>
      <c r="D65" s="24" t="s">
        <v>11</v>
      </c>
      <c r="E65" s="28" t="s">
        <v>246</v>
      </c>
      <c r="F65" s="24" t="s">
        <v>154</v>
      </c>
      <c r="G65" s="24" t="s">
        <v>263</v>
      </c>
    </row>
    <row r="66" spans="1:11" s="29" customFormat="1" ht="30" x14ac:dyDescent="0.25">
      <c r="A66" s="29" t="s">
        <v>12</v>
      </c>
      <c r="B66" s="29" t="s">
        <v>41</v>
      </c>
      <c r="D66" s="29" t="s">
        <v>12</v>
      </c>
      <c r="E66" s="30" t="s">
        <v>364</v>
      </c>
      <c r="F66" s="29" t="s">
        <v>155</v>
      </c>
      <c r="K66" s="30"/>
    </row>
    <row r="67" spans="1:11" s="29" customFormat="1" ht="30" x14ac:dyDescent="0.25">
      <c r="A67" s="29" t="s">
        <v>247</v>
      </c>
      <c r="D67" s="29" t="s">
        <v>366</v>
      </c>
      <c r="E67" s="30" t="s">
        <v>250</v>
      </c>
      <c r="F67" s="29" t="s">
        <v>155</v>
      </c>
      <c r="K67" s="30"/>
    </row>
    <row r="68" spans="1:11" x14ac:dyDescent="0.25">
      <c r="A68" s="24" t="s">
        <v>248</v>
      </c>
      <c r="D68" s="29" t="s">
        <v>319</v>
      </c>
      <c r="E68" s="28" t="s">
        <v>252</v>
      </c>
      <c r="F68" s="24" t="s">
        <v>154</v>
      </c>
      <c r="G68" s="24" t="s">
        <v>263</v>
      </c>
    </row>
    <row r="69" spans="1:11" x14ac:dyDescent="0.25">
      <c r="A69" s="24" t="s">
        <v>249</v>
      </c>
      <c r="D69" s="29" t="s">
        <v>323</v>
      </c>
      <c r="E69" s="28" t="s">
        <v>251</v>
      </c>
      <c r="F69" s="24" t="s">
        <v>154</v>
      </c>
      <c r="G69" s="24" t="s">
        <v>263</v>
      </c>
    </row>
    <row r="78" spans="1:11" x14ac:dyDescent="0.25">
      <c r="D78" s="29"/>
    </row>
  </sheetData>
  <autoFilter ref="A5:K69" xr:uid="{D833E57F-2ECE-41BB-8C4E-21375F0084EC}"/>
  <hyperlinks>
    <hyperlink ref="J6" r:id="rId1" xr:uid="{DF4C92F2-CE75-4BCB-AF1C-98E79E4D8738}"/>
    <hyperlink ref="J7" r:id="rId2" xr:uid="{13FD7C63-4A1A-427F-B15C-BB66452D9D0D}"/>
    <hyperlink ref="J20" r:id="rId3" xr:uid="{097019AD-E894-4C06-AAF6-7F62E510F527}"/>
    <hyperlink ref="J53" r:id="rId4" xr:uid="{894F5AEB-E8DE-4638-B64E-159BC570F5AD}"/>
    <hyperlink ref="J55" r:id="rId5" xr:uid="{26804DD9-6C45-42EA-8E65-EC815F905061}"/>
    <hyperlink ref="J19" r:id="rId6" xr:uid="{01693BD8-12E3-461C-874B-241799E34448}"/>
    <hyperlink ref="J62" r:id="rId7" xr:uid="{5C79DE86-D96D-4832-9815-A4ADB0CF6318}"/>
    <hyperlink ref="J63" r:id="rId8" xr:uid="{F2504F5A-16CB-4157-B79F-AE3489384F1F}"/>
    <hyperlink ref="J56" r:id="rId9" xr:uid="{CB7D74B5-E999-438B-B9B2-A445B316C662}"/>
    <hyperlink ref="J37" r:id="rId10" xr:uid="{B21E80CA-06A9-4CDB-80DA-BB105D15CCA1}"/>
    <hyperlink ref="J41" r:id="rId11" xr:uid="{FC49F09C-A93C-491A-9FA4-3D378745AB32}"/>
    <hyperlink ref="J42" r:id="rId12" xr:uid="{FD4F7E9C-5E1C-4414-8D2D-ABACC74CD35A}"/>
    <hyperlink ref="J43" r:id="rId13" xr:uid="{2A830915-18E4-497B-815B-72B1F5C40E36}"/>
    <hyperlink ref="J44" r:id="rId14" xr:uid="{10DA5486-FB68-414B-B939-80FD14A38147}"/>
    <hyperlink ref="J23" r:id="rId15" xr:uid="{CC9F80B8-6290-48D3-BC05-C60242AF3B55}"/>
    <hyperlink ref="J24" r:id="rId16" xr:uid="{A4D5EB18-F27B-457C-AE73-F9C5C9914E76}"/>
    <hyperlink ref="J25" r:id="rId17" xr:uid="{E50F34F2-F8C7-4F79-BB4F-6282EC119CF5}"/>
    <hyperlink ref="J26" r:id="rId18" xr:uid="{ACBFC89E-28EB-4474-B108-99001EB53CC3}"/>
    <hyperlink ref="J64" r:id="rId19" xr:uid="{47D90489-7FD3-439B-8E63-A973399E173C}"/>
    <hyperlink ref="J60" r:id="rId20" xr:uid="{172D4E64-03C3-4F8A-AC64-0300AAB734A5}"/>
    <hyperlink ref="J12" r:id="rId21" xr:uid="{3BA35F43-6C9D-4805-BE28-593DD974E6D4}"/>
    <hyperlink ref="J30" r:id="rId22" xr:uid="{364C051C-9E06-488E-8C4D-AB2983476463}"/>
    <hyperlink ref="J11" r:id="rId23" xr:uid="{6F88F2C4-5113-4E31-9BEA-51FE568DABA7}"/>
    <hyperlink ref="J29" r:id="rId24" xr:uid="{7AB0D09B-EF7E-4808-AAFB-A131A6D6D6EC}"/>
    <hyperlink ref="J14" r:id="rId25" xr:uid="{8CD5AF8F-FABD-42A5-99B4-FB0CEEACB26A}"/>
    <hyperlink ref="J32" r:id="rId26" xr:uid="{A546E014-087D-4D53-A3D1-A4B64EB2E1A9}"/>
    <hyperlink ref="J38" r:id="rId27" xr:uid="{8D309655-FC53-4149-AB0D-BA874C003947}"/>
    <hyperlink ref="J48" r:id="rId28" xr:uid="{98B1FD06-E795-43C0-BF50-DEFD8FBF9783}"/>
    <hyperlink ref="J47" r:id="rId29" xr:uid="{673EB728-B174-4DA0-BCEC-4E12E57BFCCF}"/>
    <hyperlink ref="J50" r:id="rId30" xr:uid="{3C2E27B6-05D4-469F-A339-42B137F23407}"/>
    <hyperlink ref="J51" r:id="rId31" xr:uid="{364FD7D1-64C7-4D7A-A976-2A9F6B50E677}"/>
  </hyperlinks>
  <pageMargins left="0.7" right="0.7" top="0.75" bottom="0.75" header="0.3" footer="0.3"/>
  <pageSetup paperSize="9" orientation="portrait" horizontalDpi="300" verticalDpi="300" r:id="rId3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26AD-D6AA-47AD-9225-C611C0CA7D8E}">
  <sheetPr>
    <outlinePr summaryBelow="0" summaryRight="0"/>
  </sheetPr>
  <dimension ref="A1:D39"/>
  <sheetViews>
    <sheetView topLeftCell="A13" workbookViewId="0">
      <selection activeCell="A7" sqref="A7"/>
    </sheetView>
  </sheetViews>
  <sheetFormatPr defaultRowHeight="15" x14ac:dyDescent="0.25"/>
  <cols>
    <col min="1" max="1" width="72.5703125" bestFit="1" customWidth="1"/>
    <col min="2" max="2" width="24" bestFit="1" customWidth="1"/>
    <col min="3" max="3" width="36" bestFit="1" customWidth="1"/>
  </cols>
  <sheetData>
    <row r="1" spans="1:4" ht="21" x14ac:dyDescent="0.35">
      <c r="A1" s="7" t="s">
        <v>122</v>
      </c>
      <c r="B1" s="5"/>
      <c r="C1" s="5"/>
      <c r="D1" s="6"/>
    </row>
    <row r="2" spans="1:4" x14ac:dyDescent="0.25">
      <c r="D2" s="8"/>
    </row>
    <row r="3" spans="1:4" ht="45" x14ac:dyDescent="0.25">
      <c r="A3" s="6" t="s">
        <v>123</v>
      </c>
      <c r="B3" s="6"/>
      <c r="C3" s="6"/>
      <c r="D3" s="6"/>
    </row>
    <row r="4" spans="1:4" x14ac:dyDescent="0.25">
      <c r="D4" s="8"/>
    </row>
    <row r="5" spans="1:4" x14ac:dyDescent="0.25">
      <c r="A5" s="1" t="s">
        <v>49</v>
      </c>
      <c r="B5" s="1" t="s">
        <v>27</v>
      </c>
      <c r="C5" s="1" t="s">
        <v>0</v>
      </c>
      <c r="D5" s="2" t="s">
        <v>45</v>
      </c>
    </row>
    <row r="6" spans="1:4" x14ac:dyDescent="0.25">
      <c r="A6" t="s">
        <v>50</v>
      </c>
    </row>
    <row r="7" spans="1:4" x14ac:dyDescent="0.25">
      <c r="A7" t="s">
        <v>51</v>
      </c>
    </row>
    <row r="8" spans="1:4" x14ac:dyDescent="0.25">
      <c r="A8" t="s">
        <v>53</v>
      </c>
    </row>
    <row r="9" spans="1:4" x14ac:dyDescent="0.25">
      <c r="A9" t="s">
        <v>54</v>
      </c>
      <c r="B9" t="s">
        <v>52</v>
      </c>
    </row>
    <row r="10" spans="1:4" x14ac:dyDescent="0.25">
      <c r="A10" t="s">
        <v>55</v>
      </c>
      <c r="B10" t="s">
        <v>73</v>
      </c>
    </row>
    <row r="11" spans="1:4" x14ac:dyDescent="0.25">
      <c r="A11" t="s">
        <v>56</v>
      </c>
      <c r="B11">
        <v>1</v>
      </c>
    </row>
    <row r="12" spans="1:4" x14ac:dyDescent="0.25">
      <c r="A12" t="s">
        <v>57</v>
      </c>
    </row>
    <row r="13" spans="1:4" x14ac:dyDescent="0.25">
      <c r="A13" t="s">
        <v>58</v>
      </c>
    </row>
    <row r="14" spans="1:4" x14ac:dyDescent="0.25">
      <c r="A14" t="s">
        <v>59</v>
      </c>
    </row>
    <row r="15" spans="1:4" x14ac:dyDescent="0.25">
      <c r="A15" t="s">
        <v>60</v>
      </c>
    </row>
    <row r="16" spans="1:4" x14ac:dyDescent="0.25">
      <c r="A16" t="s">
        <v>61</v>
      </c>
      <c r="C16" t="s">
        <v>62</v>
      </c>
    </row>
    <row r="17" spans="1:4" x14ac:dyDescent="0.25">
      <c r="A17" t="s">
        <v>63</v>
      </c>
      <c r="B17" t="s">
        <v>64</v>
      </c>
    </row>
    <row r="18" spans="1:4" x14ac:dyDescent="0.25">
      <c r="A18" t="s">
        <v>65</v>
      </c>
      <c r="B18" t="s">
        <v>66</v>
      </c>
    </row>
    <row r="19" spans="1:4" x14ac:dyDescent="0.25">
      <c r="A19" t="s">
        <v>67</v>
      </c>
    </row>
    <row r="20" spans="1:4" x14ac:dyDescent="0.25">
      <c r="A20" t="s">
        <v>68</v>
      </c>
      <c r="B20" t="s">
        <v>69</v>
      </c>
    </row>
    <row r="21" spans="1:4" x14ac:dyDescent="0.25">
      <c r="A21" t="s">
        <v>70</v>
      </c>
    </row>
    <row r="22" spans="1:4" x14ac:dyDescent="0.25">
      <c r="A22" t="s">
        <v>71</v>
      </c>
    </row>
    <row r="23" spans="1:4" x14ac:dyDescent="0.25">
      <c r="A23" t="s">
        <v>72</v>
      </c>
      <c r="C23" t="s">
        <v>86</v>
      </c>
      <c r="D23" t="s">
        <v>87</v>
      </c>
    </row>
    <row r="24" spans="1:4" x14ac:dyDescent="0.25">
      <c r="A24" t="s">
        <v>74</v>
      </c>
    </row>
    <row r="25" spans="1:4" x14ac:dyDescent="0.25">
      <c r="A25" t="s">
        <v>75</v>
      </c>
    </row>
    <row r="26" spans="1:4" x14ac:dyDescent="0.25">
      <c r="A26" t="s">
        <v>76</v>
      </c>
      <c r="C26" t="s">
        <v>88</v>
      </c>
      <c r="D26" t="s">
        <v>87</v>
      </c>
    </row>
    <row r="27" spans="1:4" x14ac:dyDescent="0.25">
      <c r="A27" t="s">
        <v>77</v>
      </c>
      <c r="B27" t="s">
        <v>78</v>
      </c>
    </row>
    <row r="28" spans="1:4" x14ac:dyDescent="0.25">
      <c r="A28" t="s">
        <v>119</v>
      </c>
      <c r="C28" t="s">
        <v>96</v>
      </c>
    </row>
    <row r="29" spans="1:4" x14ac:dyDescent="0.25">
      <c r="A29" t="s">
        <v>79</v>
      </c>
    </row>
    <row r="30" spans="1:4" x14ac:dyDescent="0.25">
      <c r="A30" t="s">
        <v>80</v>
      </c>
      <c r="C30" t="s">
        <v>110</v>
      </c>
    </row>
    <row r="31" spans="1:4" x14ac:dyDescent="0.25">
      <c r="A31" t="s">
        <v>81</v>
      </c>
      <c r="C31" t="s">
        <v>82</v>
      </c>
      <c r="D31" t="s">
        <v>83</v>
      </c>
    </row>
    <row r="32" spans="1:4" x14ac:dyDescent="0.25">
      <c r="A32" t="s">
        <v>81</v>
      </c>
      <c r="C32" t="s">
        <v>84</v>
      </c>
    </row>
    <row r="33" spans="1:4" x14ac:dyDescent="0.25">
      <c r="A33" t="s">
        <v>85</v>
      </c>
    </row>
    <row r="34" spans="1:4" x14ac:dyDescent="0.25">
      <c r="A34" t="s">
        <v>89</v>
      </c>
    </row>
    <row r="35" spans="1:4" x14ac:dyDescent="0.25">
      <c r="A35" t="s">
        <v>91</v>
      </c>
      <c r="C35" t="s">
        <v>90</v>
      </c>
      <c r="D35" t="s">
        <v>87</v>
      </c>
    </row>
    <row r="36" spans="1:4" x14ac:dyDescent="0.25">
      <c r="A36" t="s">
        <v>92</v>
      </c>
    </row>
    <row r="37" spans="1:4" x14ac:dyDescent="0.25">
      <c r="A37" t="s">
        <v>93</v>
      </c>
    </row>
    <row r="38" spans="1:4" x14ac:dyDescent="0.25">
      <c r="A38" t="s">
        <v>126</v>
      </c>
      <c r="C38" t="s">
        <v>127</v>
      </c>
    </row>
    <row r="39" spans="1:4" x14ac:dyDescent="0.25">
      <c r="A39" t="s">
        <v>94</v>
      </c>
      <c r="C39" t="s">
        <v>95</v>
      </c>
      <c r="D39" t="s">
        <v>87</v>
      </c>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0B0C-1D10-4A1E-B313-CAEC9B26913A}">
  <sheetPr>
    <outlinePr summaryBelow="0" summaryRight="0"/>
  </sheetPr>
  <dimension ref="A1:D16"/>
  <sheetViews>
    <sheetView workbookViewId="0">
      <selection sqref="A1:XFD4"/>
    </sheetView>
  </sheetViews>
  <sheetFormatPr defaultRowHeight="15" outlineLevelRow="1" x14ac:dyDescent="0.25"/>
  <cols>
    <col min="1" max="1" width="22.7109375" bestFit="1" customWidth="1"/>
    <col min="2" max="2" width="17.5703125" customWidth="1"/>
    <col min="3" max="3" width="72.5703125" bestFit="1" customWidth="1"/>
  </cols>
  <sheetData>
    <row r="1" spans="1:4" ht="21" x14ac:dyDescent="0.35">
      <c r="A1" s="7" t="s">
        <v>124</v>
      </c>
      <c r="B1" s="5"/>
      <c r="C1" s="5"/>
      <c r="D1" s="6"/>
    </row>
    <row r="2" spans="1:4" x14ac:dyDescent="0.25">
      <c r="D2" s="8"/>
    </row>
    <row r="3" spans="1:4" ht="45" x14ac:dyDescent="0.25">
      <c r="A3" s="6" t="s">
        <v>125</v>
      </c>
      <c r="B3" s="6"/>
      <c r="C3" s="6"/>
      <c r="D3" s="6"/>
    </row>
    <row r="4" spans="1:4" x14ac:dyDescent="0.25">
      <c r="D4" s="8"/>
    </row>
    <row r="5" spans="1:4" x14ac:dyDescent="0.25">
      <c r="A5" s="1" t="s">
        <v>0</v>
      </c>
      <c r="B5" s="1" t="s">
        <v>27</v>
      </c>
      <c r="C5" s="1" t="s">
        <v>97</v>
      </c>
      <c r="D5" s="2" t="s">
        <v>45</v>
      </c>
    </row>
    <row r="6" spans="1:4" x14ac:dyDescent="0.25">
      <c r="A6" s="3" t="s">
        <v>2</v>
      </c>
      <c r="B6" s="3"/>
      <c r="C6" s="3" t="s">
        <v>114</v>
      </c>
      <c r="D6" s="4" t="s">
        <v>99</v>
      </c>
    </row>
    <row r="7" spans="1:4" x14ac:dyDescent="0.25">
      <c r="A7" t="s">
        <v>98</v>
      </c>
      <c r="C7" t="s">
        <v>115</v>
      </c>
    </row>
    <row r="8" spans="1:4" x14ac:dyDescent="0.25">
      <c r="A8" t="s">
        <v>100</v>
      </c>
      <c r="C8" t="s">
        <v>101</v>
      </c>
    </row>
    <row r="9" spans="1:4" x14ac:dyDescent="0.25">
      <c r="A9" t="s">
        <v>102</v>
      </c>
      <c r="C9" t="s">
        <v>103</v>
      </c>
    </row>
    <row r="10" spans="1:4" x14ac:dyDescent="0.25">
      <c r="A10" t="s">
        <v>26</v>
      </c>
    </row>
    <row r="11" spans="1:4" outlineLevel="1" x14ac:dyDescent="0.25">
      <c r="A11" t="s">
        <v>29</v>
      </c>
      <c r="C11" t="s">
        <v>104</v>
      </c>
      <c r="D11" t="s">
        <v>48</v>
      </c>
    </row>
    <row r="12" spans="1:4" outlineLevel="1" x14ac:dyDescent="0.25">
      <c r="A12" t="s">
        <v>26</v>
      </c>
      <c r="C12" t="s">
        <v>104</v>
      </c>
    </row>
    <row r="13" spans="1:4" x14ac:dyDescent="0.25">
      <c r="A13" t="s">
        <v>105</v>
      </c>
      <c r="D13" t="s">
        <v>106</v>
      </c>
    </row>
    <row r="14" spans="1:4" x14ac:dyDescent="0.25">
      <c r="A14" t="s">
        <v>96</v>
      </c>
      <c r="C14" t="s">
        <v>118</v>
      </c>
    </row>
    <row r="15" spans="1:4" x14ac:dyDescent="0.25">
      <c r="A15" t="s">
        <v>11</v>
      </c>
      <c r="B15" t="s">
        <v>107</v>
      </c>
    </row>
    <row r="16" spans="1:4" x14ac:dyDescent="0.25">
      <c r="A16" t="s">
        <v>12</v>
      </c>
      <c r="B16" t="s">
        <v>41</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E53D-B39E-41D2-8FA2-9C38964BF6D0}">
  <sheetPr>
    <outlinePr summaryBelow="0" summaryRight="0"/>
  </sheetPr>
  <dimension ref="A1:D23"/>
  <sheetViews>
    <sheetView tabSelected="1" workbookViewId="0">
      <selection activeCell="A12" sqref="A12"/>
    </sheetView>
  </sheetViews>
  <sheetFormatPr defaultRowHeight="15" x14ac:dyDescent="0.25"/>
  <cols>
    <col min="1" max="1" width="72.5703125" bestFit="1" customWidth="1"/>
    <col min="2" max="2" width="24" bestFit="1" customWidth="1"/>
    <col min="3" max="3" width="36" bestFit="1" customWidth="1"/>
  </cols>
  <sheetData>
    <row r="1" spans="1:4" ht="21" x14ac:dyDescent="0.35">
      <c r="A1" s="7" t="s">
        <v>128</v>
      </c>
      <c r="B1" s="5"/>
      <c r="C1" s="5"/>
      <c r="D1" s="6"/>
    </row>
    <row r="2" spans="1:4" x14ac:dyDescent="0.25">
      <c r="D2" s="8"/>
    </row>
    <row r="3" spans="1:4" ht="45" x14ac:dyDescent="0.25">
      <c r="A3" s="6" t="s">
        <v>129</v>
      </c>
      <c r="B3" s="6"/>
      <c r="C3" s="6"/>
      <c r="D3" s="6"/>
    </row>
    <row r="4" spans="1:4" x14ac:dyDescent="0.25">
      <c r="D4" s="8"/>
    </row>
    <row r="5" spans="1:4" x14ac:dyDescent="0.25">
      <c r="A5" s="1" t="s">
        <v>108</v>
      </c>
      <c r="B5" s="1" t="s">
        <v>27</v>
      </c>
      <c r="C5" s="1" t="s">
        <v>0</v>
      </c>
      <c r="D5" s="2" t="s">
        <v>45</v>
      </c>
    </row>
    <row r="6" spans="1:4" x14ac:dyDescent="0.25">
      <c r="A6" t="s">
        <v>50</v>
      </c>
    </row>
    <row r="7" spans="1:4" x14ac:dyDescent="0.25">
      <c r="A7" t="s">
        <v>135</v>
      </c>
    </row>
    <row r="8" spans="1:4" x14ac:dyDescent="0.25">
      <c r="A8" t="s">
        <v>136</v>
      </c>
    </row>
    <row r="9" spans="1:4" x14ac:dyDescent="0.25">
      <c r="A9" t="s">
        <v>137</v>
      </c>
      <c r="B9" t="s">
        <v>52</v>
      </c>
    </row>
    <row r="10" spans="1:4" x14ac:dyDescent="0.25">
      <c r="A10" t="s">
        <v>138</v>
      </c>
      <c r="B10" t="s">
        <v>73</v>
      </c>
    </row>
    <row r="11" spans="1:4" x14ac:dyDescent="0.25">
      <c r="A11" t="s">
        <v>139</v>
      </c>
    </row>
    <row r="12" spans="1:4" x14ac:dyDescent="0.25">
      <c r="A12" t="s">
        <v>140</v>
      </c>
      <c r="C12" t="s">
        <v>109</v>
      </c>
      <c r="D12" t="s">
        <v>130</v>
      </c>
    </row>
    <row r="13" spans="1:4" x14ac:dyDescent="0.25">
      <c r="A13" t="s">
        <v>141</v>
      </c>
    </row>
    <row r="14" spans="1:4" x14ac:dyDescent="0.25">
      <c r="A14" t="s">
        <v>142</v>
      </c>
    </row>
    <row r="15" spans="1:4" x14ac:dyDescent="0.25">
      <c r="A15" t="s">
        <v>143</v>
      </c>
    </row>
    <row r="16" spans="1:4" x14ac:dyDescent="0.25">
      <c r="A16" t="s">
        <v>144</v>
      </c>
      <c r="C16" t="s">
        <v>88</v>
      </c>
      <c r="D16" t="s">
        <v>131</v>
      </c>
    </row>
    <row r="17" spans="1:4" x14ac:dyDescent="0.25">
      <c r="A17" t="s">
        <v>145</v>
      </c>
    </row>
    <row r="18" spans="1:4" x14ac:dyDescent="0.25">
      <c r="A18" t="s">
        <v>146</v>
      </c>
    </row>
    <row r="19" spans="1:4" x14ac:dyDescent="0.25">
      <c r="A19" t="s">
        <v>147</v>
      </c>
      <c r="C19" t="s">
        <v>90</v>
      </c>
      <c r="D19" t="s">
        <v>131</v>
      </c>
    </row>
    <row r="20" spans="1:4" x14ac:dyDescent="0.25">
      <c r="A20" t="s">
        <v>148</v>
      </c>
    </row>
    <row r="21" spans="1:4" x14ac:dyDescent="0.25">
      <c r="A21" t="s">
        <v>132</v>
      </c>
      <c r="C21" t="s">
        <v>110</v>
      </c>
    </row>
    <row r="22" spans="1:4" x14ac:dyDescent="0.25">
      <c r="A22" t="s">
        <v>133</v>
      </c>
      <c r="B22" t="s">
        <v>111</v>
      </c>
    </row>
    <row r="23" spans="1:4" x14ac:dyDescent="0.25">
      <c r="A23" t="s">
        <v>134</v>
      </c>
      <c r="B23" t="s">
        <v>112</v>
      </c>
      <c r="D23" t="s">
        <v>113</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95893-2186-43DB-8592-3891D68B17B3}">
  <dimension ref="A1:B4"/>
  <sheetViews>
    <sheetView workbookViewId="0">
      <selection activeCell="A4" sqref="A4"/>
    </sheetView>
  </sheetViews>
  <sheetFormatPr defaultRowHeight="15" x14ac:dyDescent="0.25"/>
  <cols>
    <col min="1" max="1" width="17" customWidth="1"/>
    <col min="2" max="2" width="41.85546875" customWidth="1"/>
  </cols>
  <sheetData>
    <row r="1" spans="1:2" ht="30.75" thickBot="1" x14ac:dyDescent="0.3">
      <c r="A1" s="13" t="s">
        <v>40</v>
      </c>
      <c r="B1" s="14" t="s">
        <v>234</v>
      </c>
    </row>
    <row r="2" spans="1:2" ht="16.5" thickBot="1" x14ac:dyDescent="0.3">
      <c r="A2" s="17" t="s">
        <v>235</v>
      </c>
      <c r="B2" s="18" t="s">
        <v>236</v>
      </c>
    </row>
    <row r="3" spans="1:2" ht="30.75" thickBot="1" x14ac:dyDescent="0.3">
      <c r="A3" s="19" t="s">
        <v>167</v>
      </c>
      <c r="B3" s="20" t="s">
        <v>237</v>
      </c>
    </row>
    <row r="4" spans="1:2" ht="30" x14ac:dyDescent="0.25">
      <c r="A4" s="15" t="s">
        <v>169</v>
      </c>
      <c r="B4" s="16" t="s">
        <v>238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858E-6331-47B1-8C15-F656DEA6F64B}">
  <dimension ref="A1:B2"/>
  <sheetViews>
    <sheetView workbookViewId="0">
      <selection activeCell="A2" sqref="A2"/>
    </sheetView>
  </sheetViews>
  <sheetFormatPr defaultRowHeight="15" x14ac:dyDescent="0.25"/>
  <cols>
    <col min="1" max="1" width="21.28515625" customWidth="1"/>
    <col min="2" max="2" width="71.28515625" customWidth="1"/>
  </cols>
  <sheetData>
    <row r="1" spans="1:2" ht="45.75" thickBot="1" x14ac:dyDescent="0.3">
      <c r="A1" s="13" t="s">
        <v>39</v>
      </c>
      <c r="B1" s="14" t="s">
        <v>231</v>
      </c>
    </row>
    <row r="2" spans="1:2" ht="75" x14ac:dyDescent="0.25">
      <c r="A2" s="15" t="s">
        <v>232</v>
      </c>
      <c r="B2" s="16" t="s">
        <v>233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7B02-0702-4807-BDA7-32671CA3E09F}">
  <dimension ref="A1:B5"/>
  <sheetViews>
    <sheetView workbookViewId="0"/>
  </sheetViews>
  <sheetFormatPr defaultRowHeight="15" x14ac:dyDescent="0.25"/>
  <cols>
    <col min="1" max="1" width="23.28515625" customWidth="1"/>
    <col min="2" max="2" width="65.140625" customWidth="1"/>
  </cols>
  <sheetData>
    <row r="1" spans="1:2" ht="60.75" thickBot="1" x14ac:dyDescent="0.3">
      <c r="A1" s="9" t="s">
        <v>222</v>
      </c>
      <c r="B1" s="10" t="s">
        <v>223</v>
      </c>
    </row>
    <row r="2" spans="1:2" ht="60.75" thickBot="1" x14ac:dyDescent="0.3">
      <c r="A2" s="11" t="s">
        <v>224</v>
      </c>
      <c r="B2" s="12" t="s">
        <v>225</v>
      </c>
    </row>
    <row r="3" spans="1:2" ht="30.75" thickBot="1" x14ac:dyDescent="0.3">
      <c r="A3" s="9" t="s">
        <v>38</v>
      </c>
      <c r="B3" s="10" t="s">
        <v>226</v>
      </c>
    </row>
    <row r="4" spans="1:2" ht="90.75" thickBot="1" x14ac:dyDescent="0.3">
      <c r="A4" s="11" t="s">
        <v>227</v>
      </c>
      <c r="B4" s="12" t="s">
        <v>228</v>
      </c>
    </row>
    <row r="5" spans="1:2" ht="16.5" thickBot="1" x14ac:dyDescent="0.3">
      <c r="A5" s="9" t="s">
        <v>229</v>
      </c>
      <c r="B5" s="10" t="s">
        <v>230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24BB-926C-41B5-876A-E5A416A631E8}">
  <dimension ref="A1:B8"/>
  <sheetViews>
    <sheetView workbookViewId="0"/>
  </sheetViews>
  <sheetFormatPr defaultRowHeight="15" x14ac:dyDescent="0.25"/>
  <cols>
    <col min="1" max="1" width="19.28515625" bestFit="1" customWidth="1"/>
    <col min="2" max="2" width="64.28515625" customWidth="1"/>
  </cols>
  <sheetData>
    <row r="1" spans="1:2" ht="90.75" thickBot="1" x14ac:dyDescent="0.3">
      <c r="A1" s="9" t="s">
        <v>44</v>
      </c>
      <c r="B1" s="10" t="s">
        <v>162</v>
      </c>
    </row>
    <row r="2" spans="1:2" ht="45.75" thickBot="1" x14ac:dyDescent="0.3">
      <c r="A2" s="11" t="s">
        <v>163</v>
      </c>
      <c r="B2" s="12" t="s">
        <v>164</v>
      </c>
    </row>
    <row r="3" spans="1:2" ht="105.75" thickBot="1" x14ac:dyDescent="0.3">
      <c r="A3" s="9" t="s">
        <v>165</v>
      </c>
      <c r="B3" s="10" t="s">
        <v>166</v>
      </c>
    </row>
    <row r="4" spans="1:2" ht="90.75" thickBot="1" x14ac:dyDescent="0.3">
      <c r="A4" s="11" t="s">
        <v>167</v>
      </c>
      <c r="B4" s="12" t="s">
        <v>168</v>
      </c>
    </row>
    <row r="5" spans="1:2" ht="75.75" thickBot="1" x14ac:dyDescent="0.3">
      <c r="A5" s="9" t="s">
        <v>169</v>
      </c>
      <c r="B5" s="10" t="s">
        <v>170</v>
      </c>
    </row>
    <row r="6" spans="1:2" ht="60.75" thickBot="1" x14ac:dyDescent="0.3">
      <c r="A6" s="11" t="s">
        <v>171</v>
      </c>
      <c r="B6" s="12" t="s">
        <v>172</v>
      </c>
    </row>
    <row r="7" spans="1:2" ht="60.75" thickBot="1" x14ac:dyDescent="0.3">
      <c r="A7" s="9" t="s">
        <v>173</v>
      </c>
      <c r="B7" s="10" t="s">
        <v>174</v>
      </c>
    </row>
    <row r="8" spans="1:2" ht="105.75" thickBot="1" x14ac:dyDescent="0.3">
      <c r="A8" s="11" t="s">
        <v>175</v>
      </c>
      <c r="B8" s="12" t="s">
        <v>176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2143-065A-481F-B192-AFCBCD03ED01}">
  <dimension ref="A1:B13"/>
  <sheetViews>
    <sheetView workbookViewId="0"/>
  </sheetViews>
  <sheetFormatPr defaultRowHeight="15" x14ac:dyDescent="0.25"/>
  <cols>
    <col min="1" max="1" width="33.5703125" bestFit="1" customWidth="1"/>
    <col min="2" max="2" width="54.7109375" customWidth="1"/>
  </cols>
  <sheetData>
    <row r="1" spans="1:2" ht="30.75" thickBot="1" x14ac:dyDescent="0.3">
      <c r="A1" s="9" t="s">
        <v>177</v>
      </c>
      <c r="B1" s="10" t="s">
        <v>178</v>
      </c>
    </row>
    <row r="2" spans="1:2" ht="32.25" thickBot="1" x14ac:dyDescent="0.3">
      <c r="A2" s="11" t="s">
        <v>179</v>
      </c>
      <c r="B2" s="12" t="s">
        <v>180</v>
      </c>
    </row>
    <row r="3" spans="1:2" ht="32.25" thickBot="1" x14ac:dyDescent="0.3">
      <c r="A3" s="9" t="s">
        <v>181</v>
      </c>
      <c r="B3" s="10" t="s">
        <v>182</v>
      </c>
    </row>
    <row r="4" spans="1:2" ht="32.25" thickBot="1" x14ac:dyDescent="0.3">
      <c r="A4" s="11" t="s">
        <v>183</v>
      </c>
      <c r="B4" s="12" t="s">
        <v>184</v>
      </c>
    </row>
    <row r="5" spans="1:2" ht="32.25" thickBot="1" x14ac:dyDescent="0.3">
      <c r="A5" s="9" t="s">
        <v>185</v>
      </c>
      <c r="B5" s="10" t="s">
        <v>186</v>
      </c>
    </row>
    <row r="6" spans="1:2" ht="30.75" thickBot="1" x14ac:dyDescent="0.3">
      <c r="A6" s="11" t="s">
        <v>187</v>
      </c>
      <c r="B6" s="12" t="s">
        <v>188</v>
      </c>
    </row>
    <row r="7" spans="1:2" ht="32.25" thickBot="1" x14ac:dyDescent="0.3">
      <c r="A7" s="9" t="s">
        <v>189</v>
      </c>
      <c r="B7" s="10" t="s">
        <v>190</v>
      </c>
    </row>
    <row r="8" spans="1:2" ht="32.25" thickBot="1" x14ac:dyDescent="0.3">
      <c r="A8" s="11" t="s">
        <v>191</v>
      </c>
      <c r="B8" s="12" t="s">
        <v>192</v>
      </c>
    </row>
    <row r="9" spans="1:2" ht="32.25" thickBot="1" x14ac:dyDescent="0.3">
      <c r="A9" s="9" t="s">
        <v>193</v>
      </c>
      <c r="B9" s="10" t="s">
        <v>194</v>
      </c>
    </row>
    <row r="10" spans="1:2" ht="30.75" thickBot="1" x14ac:dyDescent="0.3">
      <c r="A10" s="11" t="s">
        <v>195</v>
      </c>
      <c r="B10" s="12" t="s">
        <v>196</v>
      </c>
    </row>
    <row r="11" spans="1:2" ht="30.75" thickBot="1" x14ac:dyDescent="0.3">
      <c r="A11" s="9" t="s">
        <v>197</v>
      </c>
      <c r="B11" s="10" t="s">
        <v>198</v>
      </c>
    </row>
    <row r="12" spans="1:2" ht="32.25" thickBot="1" x14ac:dyDescent="0.3">
      <c r="A12" s="11" t="s">
        <v>199</v>
      </c>
      <c r="B12" s="12" t="s">
        <v>200</v>
      </c>
    </row>
    <row r="13" spans="1:2" ht="30.75" thickBot="1" x14ac:dyDescent="0.3">
      <c r="A13" s="9" t="s">
        <v>201</v>
      </c>
      <c r="B13" s="10" t="s">
        <v>202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E373-9ED8-4BB8-841B-794F0C6B9EE6}">
  <dimension ref="A1:B4"/>
  <sheetViews>
    <sheetView workbookViewId="0">
      <selection activeCell="B4" sqref="B4"/>
    </sheetView>
  </sheetViews>
  <sheetFormatPr defaultRowHeight="15" x14ac:dyDescent="0.25"/>
  <cols>
    <col min="1" max="1" width="19.5703125" customWidth="1"/>
    <col min="2" max="2" width="32.28515625" customWidth="1"/>
  </cols>
  <sheetData>
    <row r="1" spans="1:2" ht="34.5" x14ac:dyDescent="0.25">
      <c r="A1" s="32" t="s">
        <v>404</v>
      </c>
      <c r="B1" s="33" t="s">
        <v>405</v>
      </c>
    </row>
    <row r="2" spans="1:2" ht="34.5" x14ac:dyDescent="0.25">
      <c r="A2" s="32" t="s">
        <v>406</v>
      </c>
      <c r="B2" s="33" t="s">
        <v>407</v>
      </c>
    </row>
    <row r="3" spans="1:2" ht="34.5" x14ac:dyDescent="0.25">
      <c r="A3" s="32" t="s">
        <v>408</v>
      </c>
      <c r="B3" s="33" t="s">
        <v>409</v>
      </c>
    </row>
    <row r="4" spans="1:2" ht="69" x14ac:dyDescent="0.25">
      <c r="A4" s="32" t="s">
        <v>410</v>
      </c>
      <c r="B4" s="33" t="s">
        <v>411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Comparison</vt:lpstr>
      <vt:lpstr>pain.001.001.11</vt:lpstr>
      <vt:lpstr>pain.001.013.09</vt:lpstr>
      <vt:lpstr>pacs.008.001.10</vt:lpstr>
      <vt:lpstr>pacs.002.001.12</vt:lpstr>
      <vt:lpstr>POST quotes</vt:lpstr>
      <vt:lpstr>PUT quotes</vt:lpstr>
      <vt:lpstr>POST transfers</vt:lpstr>
      <vt:lpstr>PUT transfers</vt:lpstr>
      <vt:lpstr>TransactionInitiatorType</vt:lpstr>
      <vt:lpstr>TransactionInitiator</vt:lpstr>
      <vt:lpstr>TransactionScenario</vt:lpstr>
      <vt:lpstr>PartyIdType</vt:lpstr>
      <vt:lpstr>PersonalIdentifierType</vt:lpstr>
      <vt:lpstr>TransferState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Richards</dc:creator>
  <cp:lastModifiedBy>Justus Ortlepp</cp:lastModifiedBy>
  <dcterms:created xsi:type="dcterms:W3CDTF">2021-03-15T10:40:34Z</dcterms:created>
  <dcterms:modified xsi:type="dcterms:W3CDTF">2021-05-31T11:52:24Z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7907d75f-5407-4150-94f1-71d53194b64e</vt:lpwstr>
  </property>
</Properties>
</file>